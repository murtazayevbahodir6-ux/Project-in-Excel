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user\Documents\Excel Homeworks\"/>
    </mc:Choice>
  </mc:AlternateContent>
  <xr:revisionPtr revIDLastSave="0" documentId="13_ncr:1_{F3C82ABB-3ED3-4725-A72D-8E6AA06B9378}" xr6:coauthVersionLast="47" xr6:coauthVersionMax="47" xr10:uidLastSave="{00000000-0000-0000-0000-000000000000}"/>
  <bookViews>
    <workbookView xWindow="-108" yWindow="-108" windowWidth="23256" windowHeight="12576" activeTab="2" xr2:uid="{CA02D7FC-7AEF-4FDF-816D-2EEFD05F5F99}"/>
  </bookViews>
  <sheets>
    <sheet name="electric_vehicles_spec_2025 csv" sheetId="2" r:id="rId1"/>
    <sheet name="Electric Vehicle Insights" sheetId="8" r:id="rId2"/>
    <sheet name="Dashboard" sheetId="9" r:id="rId3"/>
    <sheet name="Sheet2" sheetId="11" state="hidden" r:id="rId4"/>
  </sheets>
  <definedNames>
    <definedName name="ExternalData_1" localSheetId="0" hidden="1">'electric_vehicles_spec_2025 csv'!$A$1:$AB$479</definedName>
    <definedName name="Slicer_brand">#N/A</definedName>
    <definedName name="Slicer_car_body_type">#N/A</definedName>
    <definedName name="Slicer_Efficiency_Category">#N/A</definedName>
    <definedName name="Slicer_fast_charging_group">#N/A</definedName>
    <definedName name="Slicer_range_km_category">#N/A</definedName>
    <definedName name="Slicer_top_speed_grou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M2" i="2"/>
  <c r="M447" i="2"/>
  <c r="M446" i="2"/>
  <c r="M445" i="2"/>
  <c r="M444" i="2"/>
  <c r="M443" i="2"/>
  <c r="M442" i="2"/>
  <c r="M441" i="2"/>
  <c r="M440" i="2"/>
  <c r="M439" i="2"/>
  <c r="M438" i="2"/>
  <c r="M437" i="2"/>
  <c r="M436" i="2"/>
  <c r="M435" i="2"/>
  <c r="M434" i="2"/>
  <c r="M433" i="2"/>
  <c r="M432" i="2"/>
  <c r="M431" i="2"/>
  <c r="M430" i="2"/>
  <c r="M429" i="2"/>
  <c r="M428" i="2"/>
  <c r="M427" i="2"/>
  <c r="M426" i="2"/>
  <c r="M425" i="2"/>
  <c r="M424" i="2"/>
  <c r="M423" i="2"/>
  <c r="M422" i="2"/>
  <c r="M421" i="2"/>
  <c r="M420" i="2"/>
  <c r="M419" i="2"/>
  <c r="M418" i="2"/>
  <c r="M417" i="2"/>
  <c r="M416" i="2"/>
  <c r="M415" i="2"/>
  <c r="M414" i="2"/>
  <c r="M413" i="2"/>
  <c r="M412" i="2"/>
  <c r="M411" i="2"/>
  <c r="M410" i="2"/>
  <c r="M409" i="2"/>
  <c r="M408" i="2"/>
  <c r="M407" i="2"/>
  <c r="M406" i="2"/>
  <c r="M405" i="2"/>
  <c r="M404" i="2"/>
  <c r="M403" i="2"/>
  <c r="M402" i="2"/>
  <c r="M401" i="2"/>
  <c r="M400" i="2"/>
  <c r="M399" i="2"/>
  <c r="M398" i="2"/>
  <c r="M397" i="2"/>
  <c r="M396" i="2"/>
  <c r="M395" i="2"/>
  <c r="M394" i="2"/>
  <c r="M393" i="2"/>
  <c r="M392" i="2"/>
  <c r="M391" i="2"/>
  <c r="M390" i="2"/>
  <c r="M389" i="2"/>
  <c r="M388" i="2"/>
  <c r="M387" i="2"/>
  <c r="M386" i="2"/>
  <c r="M385" i="2"/>
  <c r="M384" i="2"/>
  <c r="M383" i="2"/>
  <c r="M382" i="2"/>
  <c r="M381" i="2"/>
  <c r="M380" i="2"/>
  <c r="M379" i="2"/>
  <c r="M378" i="2"/>
  <c r="M377" i="2"/>
  <c r="M376" i="2"/>
  <c r="M375" i="2"/>
  <c r="M374" i="2"/>
  <c r="M373" i="2"/>
  <c r="M372" i="2"/>
  <c r="M371" i="2"/>
  <c r="M370" i="2"/>
  <c r="M369" i="2"/>
  <c r="M368" i="2"/>
  <c r="M367" i="2"/>
  <c r="M366" i="2"/>
  <c r="M365" i="2"/>
  <c r="M364" i="2"/>
  <c r="M363" i="2"/>
  <c r="M362" i="2"/>
  <c r="M361" i="2"/>
  <c r="M360" i="2"/>
  <c r="M359" i="2"/>
  <c r="M358" i="2"/>
  <c r="M357" i="2"/>
  <c r="M356" i="2"/>
  <c r="M355" i="2"/>
  <c r="M354" i="2"/>
  <c r="M353" i="2"/>
  <c r="M352" i="2"/>
  <c r="M351" i="2"/>
  <c r="M350" i="2"/>
  <c r="M349" i="2"/>
  <c r="M348" i="2"/>
  <c r="M347" i="2"/>
  <c r="M346" i="2"/>
  <c r="M345" i="2"/>
  <c r="M344" i="2"/>
  <c r="M343" i="2"/>
  <c r="M342" i="2"/>
  <c r="M341" i="2"/>
  <c r="M340" i="2"/>
  <c r="M339" i="2"/>
  <c r="M338" i="2"/>
  <c r="M337" i="2"/>
  <c r="M336" i="2"/>
  <c r="M335" i="2"/>
  <c r="M334" i="2"/>
  <c r="M333" i="2"/>
  <c r="M332" i="2"/>
  <c r="M331" i="2"/>
  <c r="M330" i="2"/>
  <c r="M329" i="2"/>
  <c r="M328" i="2"/>
  <c r="M327" i="2"/>
  <c r="M326" i="2"/>
  <c r="M325" i="2"/>
  <c r="M324" i="2"/>
  <c r="M323" i="2"/>
  <c r="M322" i="2"/>
  <c r="M321" i="2"/>
  <c r="M320" i="2"/>
  <c r="M319" i="2"/>
  <c r="M318" i="2"/>
  <c r="M317" i="2"/>
  <c r="M316" i="2"/>
  <c r="M315" i="2"/>
  <c r="M314" i="2"/>
  <c r="M313" i="2"/>
  <c r="M312" i="2"/>
  <c r="M311" i="2"/>
  <c r="M310" i="2"/>
  <c r="M309" i="2"/>
  <c r="M308" i="2"/>
  <c r="M307" i="2"/>
  <c r="M306" i="2"/>
  <c r="M305" i="2"/>
  <c r="M304" i="2"/>
  <c r="M303" i="2"/>
  <c r="M302" i="2"/>
  <c r="M301" i="2"/>
  <c r="M300" i="2"/>
  <c r="M299" i="2"/>
  <c r="M298" i="2"/>
  <c r="M297" i="2"/>
  <c r="M296" i="2"/>
  <c r="M295" i="2"/>
  <c r="M294" i="2"/>
  <c r="M293" i="2"/>
  <c r="M292" i="2"/>
  <c r="M291" i="2"/>
  <c r="M290" i="2"/>
  <c r="M289" i="2"/>
  <c r="M288" i="2"/>
  <c r="M287" i="2"/>
  <c r="M286" i="2"/>
  <c r="M285" i="2"/>
  <c r="M284" i="2"/>
  <c r="M283" i="2"/>
  <c r="M282" i="2"/>
  <c r="M281" i="2"/>
  <c r="M280" i="2"/>
  <c r="M279" i="2"/>
  <c r="M278" i="2"/>
  <c r="M277" i="2"/>
  <c r="M276" i="2"/>
  <c r="M275" i="2"/>
  <c r="M274" i="2"/>
  <c r="M273" i="2"/>
  <c r="M272" i="2"/>
  <c r="M271" i="2"/>
  <c r="M270" i="2"/>
  <c r="M269" i="2"/>
  <c r="M268" i="2"/>
  <c r="M267" i="2"/>
  <c r="M266" i="2"/>
  <c r="M265" i="2"/>
  <c r="M264" i="2"/>
  <c r="M263" i="2"/>
  <c r="M262" i="2"/>
  <c r="M261" i="2"/>
  <c r="M260" i="2"/>
  <c r="M259" i="2"/>
  <c r="M258" i="2"/>
  <c r="M257" i="2"/>
  <c r="M256" i="2"/>
  <c r="M255" i="2"/>
  <c r="M254" i="2"/>
  <c r="M253" i="2"/>
  <c r="M252" i="2"/>
  <c r="M251" i="2"/>
  <c r="M250" i="2"/>
  <c r="M249" i="2"/>
  <c r="M248" i="2"/>
  <c r="M247" i="2"/>
  <c r="M246" i="2"/>
  <c r="M245" i="2"/>
  <c r="M244" i="2"/>
  <c r="M243" i="2"/>
  <c r="M242" i="2"/>
  <c r="M241" i="2"/>
  <c r="M240" i="2"/>
  <c r="M239" i="2"/>
  <c r="M238" i="2"/>
  <c r="M237" i="2"/>
  <c r="M236" i="2"/>
  <c r="M235" i="2"/>
  <c r="M234" i="2"/>
  <c r="M233" i="2"/>
  <c r="M232" i="2"/>
  <c r="M231" i="2"/>
  <c r="M230" i="2"/>
  <c r="M229" i="2"/>
  <c r="M228" i="2"/>
  <c r="M227" i="2"/>
  <c r="M226" i="2"/>
  <c r="M225" i="2"/>
  <c r="M224" i="2"/>
  <c r="M223" i="2"/>
  <c r="M222" i="2"/>
  <c r="M221" i="2"/>
  <c r="M220" i="2"/>
  <c r="M219" i="2"/>
  <c r="M218" i="2"/>
  <c r="M217" i="2"/>
  <c r="M216" i="2"/>
  <c r="M215" i="2"/>
  <c r="M214" i="2"/>
  <c r="M213" i="2"/>
  <c r="M212" i="2"/>
  <c r="M211" i="2"/>
  <c r="M210" i="2"/>
  <c r="M209" i="2"/>
  <c r="M208" i="2"/>
  <c r="M207" i="2"/>
  <c r="M206" i="2"/>
  <c r="M205" i="2"/>
  <c r="M204" i="2"/>
  <c r="M203" i="2"/>
  <c r="M202" i="2"/>
  <c r="M201" i="2"/>
  <c r="M200" i="2"/>
  <c r="M199" i="2"/>
  <c r="M198" i="2"/>
  <c r="M197" i="2"/>
  <c r="M196" i="2"/>
  <c r="M195" i="2"/>
  <c r="M194" i="2"/>
  <c r="M193" i="2"/>
  <c r="M192" i="2"/>
  <c r="M191" i="2"/>
  <c r="M190" i="2"/>
  <c r="M189" i="2"/>
  <c r="M188" i="2"/>
  <c r="M187" i="2"/>
  <c r="M186" i="2"/>
  <c r="M185" i="2"/>
  <c r="M184" i="2"/>
  <c r="M183" i="2"/>
  <c r="M182" i="2"/>
  <c r="M181" i="2"/>
  <c r="M180" i="2"/>
  <c r="M179" i="2"/>
  <c r="M178" i="2"/>
  <c r="M177" i="2"/>
  <c r="M176" i="2"/>
  <c r="M175" i="2"/>
  <c r="M174" i="2"/>
  <c r="M173" i="2"/>
  <c r="M172" i="2"/>
  <c r="M171" i="2"/>
  <c r="M170" i="2"/>
  <c r="M169" i="2"/>
  <c r="M168" i="2"/>
  <c r="M167" i="2"/>
  <c r="M166" i="2"/>
  <c r="M165" i="2"/>
  <c r="M164" i="2"/>
  <c r="M163" i="2"/>
  <c r="M162" i="2"/>
  <c r="M161" i="2"/>
  <c r="M160" i="2"/>
  <c r="M159" i="2"/>
  <c r="M158" i="2"/>
  <c r="M157" i="2"/>
  <c r="M156" i="2"/>
  <c r="M155" i="2"/>
  <c r="M154" i="2"/>
  <c r="M153" i="2"/>
  <c r="M152" i="2"/>
  <c r="M151" i="2"/>
  <c r="M150" i="2"/>
  <c r="M149" i="2"/>
  <c r="M148" i="2"/>
  <c r="M147" i="2"/>
  <c r="M146" i="2"/>
  <c r="M145" i="2"/>
  <c r="M144" i="2"/>
  <c r="M143" i="2"/>
  <c r="M142" i="2"/>
  <c r="M141" i="2"/>
  <c r="M140" i="2"/>
  <c r="M139" i="2"/>
  <c r="M138" i="2"/>
  <c r="M137"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2893D9-3258-4B59-AF2F-F6B13693D965}" keepAlive="1" name="Query - ai_job_trends_dataset" description="Connection to the 'ai_job_trends_dataset' query in the workbook." type="5" refreshedVersion="0" background="1">
    <dbPr connection="Provider=Microsoft.Mashup.OleDb.1;Data Source=$Workbook$;Location=ai_job_trends_dataset;Extended Properties=&quot;&quot;" command="SELECT * FROM [ai_job_trends_dataset]"/>
  </connection>
  <connection id="2" xr16:uid="{40ADC687-CC6B-44D8-9B22-F4DA41449145}" keepAlive="1" name="Query - electric_vehicles_spec_2025 csv" description="Connection to the 'electric_vehicles_spec_2025 csv' query in the workbook." type="5" refreshedVersion="8" background="1" saveData="1">
    <dbPr connection="Provider=Microsoft.Mashup.OleDb.1;Data Source=$Workbook$;Location=&quot;electric_vehicles_spec_2025 csv&quot;;Extended Properties=&quot;&quot;" command="SELECT * FROM [electric_vehicles_spec_2025 csv]"/>
  </connection>
</connections>
</file>

<file path=xl/sharedStrings.xml><?xml version="1.0" encoding="utf-8"?>
<sst xmlns="http://schemas.openxmlformats.org/spreadsheetml/2006/main" count="4481" uniqueCount="1236">
  <si>
    <t>brand</t>
  </si>
  <si>
    <t>model</t>
  </si>
  <si>
    <t>top_speed_kmh</t>
  </si>
  <si>
    <t>battery_capacity_kWh</t>
  </si>
  <si>
    <t>battery_type</t>
  </si>
  <si>
    <t>number_of_cells</t>
  </si>
  <si>
    <t>torque_nm</t>
  </si>
  <si>
    <t>efficiency_wh_per_km</t>
  </si>
  <si>
    <t>range_km</t>
  </si>
  <si>
    <t>acceleration_0_100_s</t>
  </si>
  <si>
    <t>fast_charging_power_kw_dc</t>
  </si>
  <si>
    <t>fast_charge_port</t>
  </si>
  <si>
    <t>towing_capacity_kg</t>
  </si>
  <si>
    <t>cargo_volume_l</t>
  </si>
  <si>
    <t>seats</t>
  </si>
  <si>
    <t>drivetrain</t>
  </si>
  <si>
    <t>segment</t>
  </si>
  <si>
    <t>length_mm</t>
  </si>
  <si>
    <t>width_mm</t>
  </si>
  <si>
    <t>height_mm</t>
  </si>
  <si>
    <t>car_body_type</t>
  </si>
  <si>
    <t>source_url</t>
  </si>
  <si>
    <t>Abarth</t>
  </si>
  <si>
    <t>500e Convertible</t>
  </si>
  <si>
    <t>Lithium-ion</t>
  </si>
  <si>
    <t>CCS</t>
  </si>
  <si>
    <t>185</t>
  </si>
  <si>
    <t>FWD</t>
  </si>
  <si>
    <t>B - Compact</t>
  </si>
  <si>
    <t>Hatchback</t>
  </si>
  <si>
    <t>https://ev-database.org/car/1904/Abarth-500e-Convertible</t>
  </si>
  <si>
    <t>500e Hatchback</t>
  </si>
  <si>
    <t>https://ev-database.org/car/1903/Abarth-500e-Hatchback</t>
  </si>
  <si>
    <t>600e Scorpionissima</t>
  </si>
  <si>
    <t>360</t>
  </si>
  <si>
    <t>JB - Compact</t>
  </si>
  <si>
    <t>SUV</t>
  </si>
  <si>
    <t>https://ev-database.org/car/3057/Abarth-600e-Scorpionissima</t>
  </si>
  <si>
    <t>600e Turismo</t>
  </si>
  <si>
    <t>https://ev-database.org/car/3056/Abarth-600e-Turismo</t>
  </si>
  <si>
    <t>Aiways</t>
  </si>
  <si>
    <t>U5</t>
  </si>
  <si>
    <t>496</t>
  </si>
  <si>
    <t>JC - Medium</t>
  </si>
  <si>
    <t>https://ev-database.org/car/1678/Aiways-U5</t>
  </si>
  <si>
    <t>U6</t>
  </si>
  <si>
    <t>472</t>
  </si>
  <si>
    <t>https://ev-database.org/car/1766/Aiways-U6</t>
  </si>
  <si>
    <t>Alfa</t>
  </si>
  <si>
    <t>Romeo Junior Elettrica 54 kWh</t>
  </si>
  <si>
    <t>400</t>
  </si>
  <si>
    <t>https://ev-database.org/car/2184/Alfa-Romeo-Junior-Elettrica-54-kWh</t>
  </si>
  <si>
    <t>Romeo Junior Elettrica 54 kWh Veloce</t>
  </si>
  <si>
    <t>https://ev-database.org/car/2185/Alfa-Romeo-Junior-Elettrica-54-kWh-Veloce</t>
  </si>
  <si>
    <t>Alpine</t>
  </si>
  <si>
    <t>A290 Electric 180 hp</t>
  </si>
  <si>
    <t>326</t>
  </si>
  <si>
    <t>https://ev-database.org/car/2268/Alpine-A290-Electric-180-hp</t>
  </si>
  <si>
    <t>A290 Electric 220 hp</t>
  </si>
  <si>
    <t>https://ev-database.org/car/2269/Alpine-A290-Electric-220-hp</t>
  </si>
  <si>
    <t>Audi</t>
  </si>
  <si>
    <t>A6 Avant e-tron</t>
  </si>
  <si>
    <t>502</t>
  </si>
  <si>
    <t>RWD</t>
  </si>
  <si>
    <t>JE - Executive</t>
  </si>
  <si>
    <t>Station/Estate</t>
  </si>
  <si>
    <t>https://ev-database.org/car/3055/Audi-A6-Avant-e-tron</t>
  </si>
  <si>
    <t>A6 Avant e-tron performance</t>
  </si>
  <si>
    <t>https://ev-database.org/car/2272/Audi-A6-Avant-e-tron-performance</t>
  </si>
  <si>
    <t>A6 Avant e-tron quattro</t>
  </si>
  <si>
    <t>AWD</t>
  </si>
  <si>
    <t>https://ev-database.org/car/3054/Audi-A6-Avant-e-tron-quattro</t>
  </si>
  <si>
    <t>A6 Sportback e-tron</t>
  </si>
  <si>
    <t>Liftback Sedan</t>
  </si>
  <si>
    <t>https://ev-database.org/car/3053/Audi-A6-Sportback-e-tron</t>
  </si>
  <si>
    <t>A6 Sportback e-tron performance</t>
  </si>
  <si>
    <t>https://ev-database.org/car/2270/Audi-A6-Sportback-e-tron-performance</t>
  </si>
  <si>
    <t>A6 Sportback e-tron quattro</t>
  </si>
  <si>
    <t>https://ev-database.org/car/3052/Audi-A6-Sportback-e-tron-quattro</t>
  </si>
  <si>
    <t>Q4 Sportback e-tron 40</t>
  </si>
  <si>
    <t>520</t>
  </si>
  <si>
    <t>https://ev-database.org/car/3149/Audi-Q4-Sportback-e-tron-40</t>
  </si>
  <si>
    <t>Q4 Sportback e-tron 45</t>
  </si>
  <si>
    <t>535</t>
  </si>
  <si>
    <t>https://ev-database.org/car/2016/Audi-Q4-Sportback-e-tron-45</t>
  </si>
  <si>
    <t>Q4 Sportback e-tron 45 quattro</t>
  </si>
  <si>
    <t>https://ev-database.org/car/2017/Audi-Q4-Sportback-e-tron-45-quattro</t>
  </si>
  <si>
    <t>Q4 Sportback e-tron 55 quattro</t>
  </si>
  <si>
    <t>https://ev-database.org/car/2018/Audi-Q4-Sportback-e-tron-55-quattro</t>
  </si>
  <si>
    <t>Q4 e-tron 40</t>
  </si>
  <si>
    <t>https://ev-database.org/car/3148/Audi-Q4-e-tron-40</t>
  </si>
  <si>
    <t>Q4 e-tron 45</t>
  </si>
  <si>
    <t>https://ev-database.org/car/2013/Audi-Q4-e-tron-45</t>
  </si>
  <si>
    <t>Q4 e-tron 45 quattro</t>
  </si>
  <si>
    <t>https://ev-database.org/car/2014/Audi-Q4-e-tron-45-quattro</t>
  </si>
  <si>
    <t>Q4 e-tron 55 quattro</t>
  </si>
  <si>
    <t>https://ev-database.org/car/2015/Audi-Q4-e-tron-55-quattro</t>
  </si>
  <si>
    <t>Q6 e-tron</t>
  </si>
  <si>
    <t>526</t>
  </si>
  <si>
    <t>JD - Large</t>
  </si>
  <si>
    <t>https://ev-database.org/car/2281/Audi-Q6-e-tron</t>
  </si>
  <si>
    <t>Q6 e-tron Sportback</t>
  </si>
  <si>
    <t>511</t>
  </si>
  <si>
    <t>https://ev-database.org/car/3041/Audi-Q6-e-tron-Sportback</t>
  </si>
  <si>
    <t>Q6 e-tron Sportback performance</t>
  </si>
  <si>
    <t>https://ev-database.org/car/3042/Audi-Q6-e-tron-Sportback-performance</t>
  </si>
  <si>
    <t>Q6 e-tron Sportback quattro</t>
  </si>
  <si>
    <t>https://ev-database.org/car/3043/Audi-Q6-e-tron-Sportback-quattro</t>
  </si>
  <si>
    <t>Q6 e-tron performance</t>
  </si>
  <si>
    <t>https://ev-database.org/car/2215/Audi-Q6-e-tron-performance</t>
  </si>
  <si>
    <t>Q6 e-tron quattro</t>
  </si>
  <si>
    <t>10 Banana Boxes</t>
  </si>
  <si>
    <t>https://ev-database.org/car/2146/Audi-Q6-e-tron-quattro</t>
  </si>
  <si>
    <t>S6 Avant e-tron</t>
  </si>
  <si>
    <t>https://ev-database.org/car/2273/Audi-S6-Avant-e-tron</t>
  </si>
  <si>
    <t>S6 Sportback e-tron</t>
  </si>
  <si>
    <t>https://ev-database.org/car/2271/Audi-S6-Sportback-e-tron</t>
  </si>
  <si>
    <t>SQ6 e-tron</t>
  </si>
  <si>
    <t>514</t>
  </si>
  <si>
    <t>https://ev-database.org/car/2147/Audi-SQ6-e-tron</t>
  </si>
  <si>
    <t>SQ6 e-tron Sportback</t>
  </si>
  <si>
    <t>https://ev-database.org/car/3044/Audi-SQ6-e-tron-Sportback</t>
  </si>
  <si>
    <t>e-tron GT RS</t>
  </si>
  <si>
    <t>350</t>
  </si>
  <si>
    <t>F - Luxury</t>
  </si>
  <si>
    <t>Sedan</t>
  </si>
  <si>
    <t>https://ev-database.org/car/2220/Audi-e-tron-GT-RS</t>
  </si>
  <si>
    <t>e-tron GT RS performance</t>
  </si>
  <si>
    <t>https://ev-database.org/car/2221/Audi-e-tron-GT-RS-performance</t>
  </si>
  <si>
    <t>e-tron GT S</t>
  </si>
  <si>
    <t>405</t>
  </si>
  <si>
    <t>https://ev-database.org/car/2219/Audi-e-tron-GT-S</t>
  </si>
  <si>
    <t>e-tron GT quattro</t>
  </si>
  <si>
    <t>https://ev-database.org/car/3182/Audi-e-tron-GT-quattro</t>
  </si>
  <si>
    <t>BMW</t>
  </si>
  <si>
    <t>i4 M50</t>
  </si>
  <si>
    <t>470</t>
  </si>
  <si>
    <t>D - Large</t>
  </si>
  <si>
    <t>https://ev-database.org/car/2201/BMW-i4-M50</t>
  </si>
  <si>
    <t>i4 eDrive35</t>
  </si>
  <si>
    <t>https://ev-database.org/car/2198/BMW-i4-eDrive35</t>
  </si>
  <si>
    <t>i4 eDrive40</t>
  </si>
  <si>
    <t>https://ev-database.org/car/2199/BMW-i4-eDrive40</t>
  </si>
  <si>
    <t>i4 xDrive40</t>
  </si>
  <si>
    <t>https://ev-database.org/car/2200/BMW-i4-xDrive40</t>
  </si>
  <si>
    <t>i5 M60 xDrive Sedan (MY25)</t>
  </si>
  <si>
    <t>490</t>
  </si>
  <si>
    <t>E - Executive</t>
  </si>
  <si>
    <t>https://ev-database.org/car/3114/BMW-i5-M60-xDrive-Sedan</t>
  </si>
  <si>
    <t>i5 M60 xDrive Touring (MY25)</t>
  </si>
  <si>
    <t>570</t>
  </si>
  <si>
    <t>https://ev-database.org/car/3117/BMW-i5-M60-xDrive-Touring</t>
  </si>
  <si>
    <t>i5 eDrive40 Sedan (MY25)</t>
  </si>
  <si>
    <t>https://ev-database.org/car/3112/BMW-i5-eDrive40-Sedan</t>
  </si>
  <si>
    <t>i5 eDrive40 Touring (MY25)</t>
  </si>
  <si>
    <t>https://ev-database.org/car/3115/BMW-i5-eDrive40-Touring</t>
  </si>
  <si>
    <t>i5 xDrive40 Sedan (MY25)</t>
  </si>
  <si>
    <t>https://ev-database.org/car/3113/BMW-i5-xDrive40-Sedan</t>
  </si>
  <si>
    <t>i5 xDrive40 Touring (MY25)</t>
  </si>
  <si>
    <t>https://ev-database.org/car/3116/BMW-i5-xDrive40-Touring</t>
  </si>
  <si>
    <t>i7 M70 xDrive</t>
  </si>
  <si>
    <t>500</t>
  </si>
  <si>
    <t>https://ev-database.org/car/1838/BMW-i7-M70-xDrive</t>
  </si>
  <si>
    <t>i7 eDrive50</t>
  </si>
  <si>
    <t>https://ev-database.org/car/1905/BMW-i7-eDrive50</t>
  </si>
  <si>
    <t>i7 xDrive60</t>
  </si>
  <si>
    <t>https://ev-database.org/car/1676/BMW-i7-xDrive60</t>
  </si>
  <si>
    <t>iX M70 xDrive</t>
  </si>
  <si>
    <t>https://ev-database.org/car/3111/BMW-iX-M70-xDrive</t>
  </si>
  <si>
    <t>iX xDrive45</t>
  </si>
  <si>
    <t>https://ev-database.org/car/3109/BMW-iX-xDrive45</t>
  </si>
  <si>
    <t>iX xDrive60</t>
  </si>
  <si>
    <t>https://ev-database.org/car/3110/BMW-iX-xDrive60</t>
  </si>
  <si>
    <t>iX1 eDrive20</t>
  </si>
  <si>
    <t>https://ev-database.org/car/1996/BMW-iX1-eDrive20</t>
  </si>
  <si>
    <t>iX1 xDrive30</t>
  </si>
  <si>
    <t>https://ev-database.org/car/1701/BMW-iX1-xDrive30</t>
  </si>
  <si>
    <t>iX2 eDrive20</t>
  </si>
  <si>
    <t>525</t>
  </si>
  <si>
    <t>https://ev-database.org/car/2097/BMW-iX2-eDrive20</t>
  </si>
  <si>
    <t>iX2 xDrive30</t>
  </si>
  <si>
    <t>https://ev-database.org/car/2040/BMW-iX2-xDrive30</t>
  </si>
  <si>
    <t>BYD</t>
  </si>
  <si>
    <t>ATTO 2</t>
  </si>
  <si>
    <t>https://ev-database.org/car/3125/BYD-ATTO-2</t>
  </si>
  <si>
    <t>ATTO 3 (MY25)</t>
  </si>
  <si>
    <t>440</t>
  </si>
  <si>
    <t>https://ev-database.org/car/3192/BYD-ATTO-3</t>
  </si>
  <si>
    <t>DOLPHIN 44.9 kWh Active</t>
  </si>
  <si>
    <t>345</t>
  </si>
  <si>
    <t>C - Medium</t>
  </si>
  <si>
    <t>https://ev-database.org/car/1917/BYD-DOLPHIN-449-kWh-Active</t>
  </si>
  <si>
    <t>DOLPHIN 44.9 kWh Boost</t>
  </si>
  <si>
    <t>https://ev-database.org/car/1918/BYD-DOLPHIN-449-kWh-Boost</t>
  </si>
  <si>
    <t>DOLPHIN 60.4 kWh</t>
  </si>
  <si>
    <t>https://ev-database.org/car/1919/BYD-DOLPHIN-604-kWh</t>
  </si>
  <si>
    <t>DOLPHIN SURF 30 kWh Active</t>
  </si>
  <si>
    <t>308</t>
  </si>
  <si>
    <t>https://ev-database.org/car/3193/BYD-DOLPHIN-SURF-30-kWh-Active</t>
  </si>
  <si>
    <t>DOLPHIN SURF 43.2 kWh Boost</t>
  </si>
  <si>
    <t>https://ev-database.org/car/3194/BYD-DOLPHIN-SURF-432-kWh-Boost</t>
  </si>
  <si>
    <t>DOLPHIN SURF 43.2 kWh Comfort</t>
  </si>
  <si>
    <t>https://ev-database.org/car/3195/BYD-DOLPHIN-SURF-432-kWh-Comfort</t>
  </si>
  <si>
    <t>SEAL 61.4 kWh RWD Comfort</t>
  </si>
  <si>
    <t>https://ev-database.org/car/3102/BYD-SEAL-614-kWh-RWD-Comfort</t>
  </si>
  <si>
    <t>SEAL 82.5 kWh AWD Excellence</t>
  </si>
  <si>
    <t>https://ev-database.org/car/2002/BYD-SEAL-825-kWh-AWD-Excellence</t>
  </si>
  <si>
    <t>SEAL 82.5 kWh RWD Design</t>
  </si>
  <si>
    <t>https://ev-database.org/car/2001/BYD-SEAL-825-kWh-RWD-Design</t>
  </si>
  <si>
    <t>SEAL U 71.8 kWh Comfort</t>
  </si>
  <si>
    <t>552</t>
  </si>
  <si>
    <t>https://ev-database.org/car/2094/BYD-SEAL-U-718-kWh-Comfort</t>
  </si>
  <si>
    <t>SEAL U 87 kWh Design</t>
  </si>
  <si>
    <t>https://ev-database.org/car/2067/BYD-SEAL-U-87-kWh-Design</t>
  </si>
  <si>
    <t>SEALION 7 82.5 kWh AWD Design</t>
  </si>
  <si>
    <t>https://ev-database.org/car/3071/BYD-SEALION-7-825-kWh-AWD-Design</t>
  </si>
  <si>
    <t>SEALION 7 82.5 kWh RWD Comfort</t>
  </si>
  <si>
    <t>https://ev-database.org/car/3070/BYD-SEALION-7-825-kWh-RWD-Comfort</t>
  </si>
  <si>
    <t>SEALION 7 91.3 kWh AWD Excellence</t>
  </si>
  <si>
    <t>https://ev-database.org/car/3072/BYD-SEALION-7-913-kWh-AWD-Excellence</t>
  </si>
  <si>
    <t>TANG Flagship</t>
  </si>
  <si>
    <t>235</t>
  </si>
  <si>
    <t>https://ev-database.org/car/2095/BYD-TANG-Flagship</t>
  </si>
  <si>
    <t>CUPRA</t>
  </si>
  <si>
    <t>Born 170 kW - 59 kWh</t>
  </si>
  <si>
    <t>385</t>
  </si>
  <si>
    <t>https://ev-database.org/car/2233/CUPRA-Born-170-kW---59-kWh</t>
  </si>
  <si>
    <t>Born 170 kW - 77 kWh</t>
  </si>
  <si>
    <t>https://ev-database.org/car/2234/CUPRA-Born-170-kW---77-kWh</t>
  </si>
  <si>
    <t>Born VZ</t>
  </si>
  <si>
    <t>https://ev-database.org/car/2128/CUPRA-Born-VZ</t>
  </si>
  <si>
    <t>Tavascan Endurance</t>
  </si>
  <si>
    <t>540</t>
  </si>
  <si>
    <t>https://ev-database.org/car/1971/CUPRA-Tavascan-Endurance</t>
  </si>
  <si>
    <t>Tavascan VZ</t>
  </si>
  <si>
    <t>https://ev-database.org/car/1972/CUPRA-Tavascan-VZ</t>
  </si>
  <si>
    <t>Cadillac</t>
  </si>
  <si>
    <t>Lyriq 600 E4</t>
  </si>
  <si>
    <t>793</t>
  </si>
  <si>
    <t>JF - Luxury</t>
  </si>
  <si>
    <t>https://ev-database.org/car/2243/Cadillac-Lyriq-600-E4</t>
  </si>
  <si>
    <t>Citroen</t>
  </si>
  <si>
    <t>e-Berlingo M 50 kWh</t>
  </si>
  <si>
    <t>775</t>
  </si>
  <si>
    <t>N - Passenger Van</t>
  </si>
  <si>
    <t>Small Passenger Van</t>
  </si>
  <si>
    <t>https://ev-database.org/car/2159/Citroen-e-Berlingo-M-50-kWh</t>
  </si>
  <si>
    <t>e-Berlingo XL 50 kWh</t>
  </si>
  <si>
    <t>1050</t>
  </si>
  <si>
    <t>https://ev-database.org/car/2160/Citroen-e-Berlingo-XL-50-kWh</t>
  </si>
  <si>
    <t>e-C3</t>
  </si>
  <si>
    <t>310</t>
  </si>
  <si>
    <t>https://ev-database.org/car/2039/Citroen-e-C3</t>
  </si>
  <si>
    <t>e-C3 Aircross</t>
  </si>
  <si>
    <t>460</t>
  </si>
  <si>
    <t>https://ev-database.org/car/2224/Citroen-e-C3-Aircross</t>
  </si>
  <si>
    <t>e-C4</t>
  </si>
  <si>
    <t>380</t>
  </si>
  <si>
    <t>https://ev-database.org/car/3047/Citroen-e-C4</t>
  </si>
  <si>
    <t>e-C4 54 kWh</t>
  </si>
  <si>
    <t>https://ev-database.org/car/3048/Citroen-e-C4-54-kWh</t>
  </si>
  <si>
    <t>e-C4 X</t>
  </si>
  <si>
    <t>510</t>
  </si>
  <si>
    <t>https://ev-database.org/car/3049/Citroen-e-C4-X</t>
  </si>
  <si>
    <t>e-C4 X 54 kWh</t>
  </si>
  <si>
    <t>https://ev-database.org/car/3050/Citroen-e-C4-X-54-kWh</t>
  </si>
  <si>
    <t>e-SpaceTourer M 50 kWh</t>
  </si>
  <si>
    <t>603</t>
  </si>
  <si>
    <t>https://ev-database.org/car/2252/Citroen-e-SpaceTourer-M-50-kWh</t>
  </si>
  <si>
    <t>e-SpaceTourer M 75 kWh</t>
  </si>
  <si>
    <t>https://ev-database.org/car/2254/Citroen-e-SpaceTourer-M-75-kWh</t>
  </si>
  <si>
    <t>e-SpaceTourer XL 50 kWh</t>
  </si>
  <si>
    <t>989</t>
  </si>
  <si>
    <t>https://ev-database.org/car/2253/Citroen-e-SpaceTourer-XL-50-kWh</t>
  </si>
  <si>
    <t>e-SpaceTourer XL 75 kWh</t>
  </si>
  <si>
    <t>https://ev-database.org/car/2255/Citroen-e-SpaceTourer-XL-75-kWh</t>
  </si>
  <si>
    <t>DS</t>
  </si>
  <si>
    <t>3 E-Tense</t>
  </si>
  <si>
    <t>https://ev-database.org/car/1791/DS-3-E-Tense</t>
  </si>
  <si>
    <t>N°4 E-Tense</t>
  </si>
  <si>
    <t>390</t>
  </si>
  <si>
    <t>https://ev-database.org/car/3200/DS-N4-E-Tense</t>
  </si>
  <si>
    <t>N°8 AWD Long Range</t>
  </si>
  <si>
    <t>620</t>
  </si>
  <si>
    <t>https://ev-database.org/car/3078/DS-N8-AWD-Long-Range</t>
  </si>
  <si>
    <t>N°8 FWD</t>
  </si>
  <si>
    <t>https://ev-database.org/car/3076/DS-N8-FWD</t>
  </si>
  <si>
    <t>N°8 FWD Long Range</t>
  </si>
  <si>
    <t>https://ev-database.org/car/3077/DS-N8-FWD-Long-Range</t>
  </si>
  <si>
    <t>Dacia</t>
  </si>
  <si>
    <t>Spring Electric 45</t>
  </si>
  <si>
    <t>A - Mini</t>
  </si>
  <si>
    <t>https://ev-database.org/car/2126/Dacia-Spring-Electric-45</t>
  </si>
  <si>
    <t>Spring Electric 65</t>
  </si>
  <si>
    <t>https://ev-database.org/car/2127/Dacia-Spring-Electric-65</t>
  </si>
  <si>
    <t>Dongfeng</t>
  </si>
  <si>
    <t>Box 31.4 kWh</t>
  </si>
  <si>
    <t>https://ev-database.org/car/3035/Dongfeng-Box-314-kWh</t>
  </si>
  <si>
    <t>Box 42.3 kWh</t>
  </si>
  <si>
    <t>https://ev-database.org/car/3036/Dongfeng-Box-423-kWh</t>
  </si>
  <si>
    <t>Elaris</t>
  </si>
  <si>
    <t>BEO 86 kWh</t>
  </si>
  <si>
    <t>467</t>
  </si>
  <si>
    <t>https://ev-database.org/car/1975/Elaris-BEO-86-kWh</t>
  </si>
  <si>
    <t>Fiat</t>
  </si>
  <si>
    <t>500e 3+1 24 kWh</t>
  </si>
  <si>
    <t>https://ev-database.org/car/1726/Fiat-500e-3plus1-24-kWh</t>
  </si>
  <si>
    <t>500e 3+1 42 kWh</t>
  </si>
  <si>
    <t>https://ev-database.org/car/1328/Fiat-500e-3plus1-42-kWh</t>
  </si>
  <si>
    <t>500e Cabrio 24 kWh</t>
  </si>
  <si>
    <t>Cabriolet</t>
  </si>
  <si>
    <t>https://ev-database.org/car/1727/Fiat-500e-Cabrio-24-kWh</t>
  </si>
  <si>
    <t>500e Cabrio 42 kWh</t>
  </si>
  <si>
    <t>https://ev-database.org/car/1275/Fiat-500e-Cabrio-42-kWh</t>
  </si>
  <si>
    <t>500e Hatchback 24 kWh</t>
  </si>
  <si>
    <t>https://ev-database.org/car/1327/Fiat-500e-Hatchback-24-kWh</t>
  </si>
  <si>
    <t>500e Hatchback 42 kWh</t>
  </si>
  <si>
    <t>https://ev-database.org/car/1285/Fiat-500e-Hatchback-42-kWh</t>
  </si>
  <si>
    <t>600e</t>
  </si>
  <si>
    <t>https://ev-database.org/car/1945/Fiat-600e</t>
  </si>
  <si>
    <t>Grande Panda</t>
  </si>
  <si>
    <t>361</t>
  </si>
  <si>
    <t>https://ev-database.org/car/2251/Fiat-Grande-Panda</t>
  </si>
  <si>
    <t>Ford</t>
  </si>
  <si>
    <t>Capri Extended Range AWD</t>
  </si>
  <si>
    <t>572</t>
  </si>
  <si>
    <t>https://ev-database.org/car/2242/Ford-Capri-Extended-Range-AWD</t>
  </si>
  <si>
    <t>Capri Extended Range RWD</t>
  </si>
  <si>
    <t>https://ev-database.org/car/2241/Ford-Capri-Extended-Range-RWD</t>
  </si>
  <si>
    <t>Capri Standard Range RWD</t>
  </si>
  <si>
    <t>https://ev-database.org/car/2240/Ford-Capri-Standard-Range-RWD</t>
  </si>
  <si>
    <t>Explorer Extended Range AWD</t>
  </si>
  <si>
    <t>536</t>
  </si>
  <si>
    <t>https://ev-database.org/car/2169/Ford-Explorer-Extended-Range-AWD</t>
  </si>
  <si>
    <t>Explorer Extended Range RWD</t>
  </si>
  <si>
    <t>https://ev-database.org/car/2168/Ford-Explorer-Extended-Range-RWD</t>
  </si>
  <si>
    <t>Explorer Standard Range RWD</t>
  </si>
  <si>
    <t>https://ev-database.org/car/2167/Ford-Explorer-Standard-Range-RWD</t>
  </si>
  <si>
    <t>Mustang Mach-E ER AWD (MY25)</t>
  </si>
  <si>
    <t>519</t>
  </si>
  <si>
    <t>https://ev-database.org/car/3189/Ford-Mustang-Mach-E-ER-AWD</t>
  </si>
  <si>
    <t>Mustang Mach-E ER AWD (MY24)</t>
  </si>
  <si>
    <t>https://ev-database.org/car/2279/Ford-Mustang-Mach-E-ER-AWD</t>
  </si>
  <si>
    <t>Mustang Mach-E ER RWD (MY25)</t>
  </si>
  <si>
    <t>https://ev-database.org/car/3188/Ford-Mustang-Mach-E-ER-RWD</t>
  </si>
  <si>
    <t>Mustang Mach-E ER RWD (MY24)</t>
  </si>
  <si>
    <t>https://ev-database.org/car/2278/Ford-Mustang-Mach-E-ER-RWD</t>
  </si>
  <si>
    <t>Mustang Mach-E GT (MY24)</t>
  </si>
  <si>
    <t>https://ev-database.org/car/2280/Ford-Mustang-Mach-E-GT</t>
  </si>
  <si>
    <t>Mustang Mach-E GT (MY25)</t>
  </si>
  <si>
    <t>https://ev-database.org/car/3190/Ford-Mustang-Mach-E-GT</t>
  </si>
  <si>
    <t>Mustang Mach-E Rally (MY25)</t>
  </si>
  <si>
    <t>https://ev-database.org/car/3191/Ford-Mustang-Mach-E-Rally</t>
  </si>
  <si>
    <t>Mustang Mach-E Rally (MY24)</t>
  </si>
  <si>
    <t>https://ev-database.org/car/2275/Ford-Mustang-Mach-E-Rally</t>
  </si>
  <si>
    <t>Mustang Mach-E SR RWD (MY24)</t>
  </si>
  <si>
    <t>https://ev-database.org/car/2277/Ford-Mustang-Mach-E-SR-RWD</t>
  </si>
  <si>
    <t>Mustang Mach-E SR RWD (MY25)</t>
  </si>
  <si>
    <t>https://ev-database.org/car/3187/Ford-Mustang-Mach-E-SR-RWD</t>
  </si>
  <si>
    <t>Puma Gen-E</t>
  </si>
  <si>
    <t>523</t>
  </si>
  <si>
    <t>https://ev-database.org/car/3073/Ford-Puma-Gen-E</t>
  </si>
  <si>
    <t>e-Tourneo Courier</t>
  </si>
  <si>
    <t/>
  </si>
  <si>
    <t>https://ev-database.org/car/3166/Ford-e-Tourneo-Courier</t>
  </si>
  <si>
    <t>e-Tourneo Custom L1 160 kW</t>
  </si>
  <si>
    <t>672</t>
  </si>
  <si>
    <t>https://ev-database.org/car/3162/Ford-e-Tourneo-Custom-L1-160-kW</t>
  </si>
  <si>
    <t>e-Tourneo Custom L1 210 kW</t>
  </si>
  <si>
    <t>https://ev-database.org/car/3163/Ford-e-Tourneo-Custom-L1-210-kW</t>
  </si>
  <si>
    <t>e-Tourneo Custom L2 160 kW</t>
  </si>
  <si>
    <t>https://ev-database.org/car/3164/Ford-e-Tourneo-Custom-L2-160-kW</t>
  </si>
  <si>
    <t>e-Tourneo Custom L2 210 kW</t>
  </si>
  <si>
    <t>https://ev-database.org/car/3165/Ford-e-Tourneo-Custom-L2-210-kW</t>
  </si>
  <si>
    <t>GWM</t>
  </si>
  <si>
    <t>ORA 03 48 kWh</t>
  </si>
  <si>
    <t>228</t>
  </si>
  <si>
    <t>https://ev-database.org/car/2091/GWM-ORA-03-48-kWh</t>
  </si>
  <si>
    <t>ORA 03 63 kWh</t>
  </si>
  <si>
    <t>https://ev-database.org/car/2092/GWM-ORA-03-63-kWh</t>
  </si>
  <si>
    <t>ORA 03 GT</t>
  </si>
  <si>
    <t>https://ev-database.org/car/2093/GWM-ORA-03-GT</t>
  </si>
  <si>
    <t>ORA 07 GT</t>
  </si>
  <si>
    <t>333</t>
  </si>
  <si>
    <t>https://ev-database.org/car/2247/GWM-ORA-07-GT</t>
  </si>
  <si>
    <t>ORA 07 Pro</t>
  </si>
  <si>
    <t>https://ev-database.org/car/2246/GWM-ORA-07-Pro</t>
  </si>
  <si>
    <t>ORA 07 Pure</t>
  </si>
  <si>
    <t>https://ev-database.org/car/2245/GWM-ORA-07-Pure</t>
  </si>
  <si>
    <t>Genesis</t>
  </si>
  <si>
    <t>G80 Electrified Luxury</t>
  </si>
  <si>
    <t>354</t>
  </si>
  <si>
    <t>https://ev-database.org/car/1703/Genesis-G80-Electrified-Luxury</t>
  </si>
  <si>
    <t>GV60 Premium</t>
  </si>
  <si>
    <t>432</t>
  </si>
  <si>
    <t>https://ev-database.org/car/1647/Genesis-GV60-Premium</t>
  </si>
  <si>
    <t>GV60 Sport</t>
  </si>
  <si>
    <t>https://ev-database.org/car/1648/Genesis-GV60-Sport</t>
  </si>
  <si>
    <t>GV60 Sport Plus</t>
  </si>
  <si>
    <t>https://ev-database.org/car/1649/Genesis-GV60-Sport-Plus</t>
  </si>
  <si>
    <t>GV70 Electrified Sport</t>
  </si>
  <si>
    <t>503</t>
  </si>
  <si>
    <t>https://ev-database.org/car/1725/Genesis-GV70-Electrified-Sport</t>
  </si>
  <si>
    <t>Honda</t>
  </si>
  <si>
    <t>e:Ny1</t>
  </si>
  <si>
    <t>https://ev-database.org/car/1940/Honda-eNy1</t>
  </si>
  <si>
    <t>Hongqi</t>
  </si>
  <si>
    <t>E-HS9 120 kWh</t>
  </si>
  <si>
    <t>438</t>
  </si>
  <si>
    <t>https://ev-database.org/car/2050/Hongqi-E-HS9-120-kWh</t>
  </si>
  <si>
    <t>E-HS9 84 kWh</t>
  </si>
  <si>
    <t>https://ev-database.org/car/1746/Hongqi-E-HS9-84-kWh</t>
  </si>
  <si>
    <t>E-HS9 99 kWh</t>
  </si>
  <si>
    <t>https://ev-database.org/car/1747/Hongqi-E-HS9-99-kWh</t>
  </si>
  <si>
    <t>Hyundai</t>
  </si>
  <si>
    <t>INSTER Long Range</t>
  </si>
  <si>
    <t>280</t>
  </si>
  <si>
    <t>JA - Mini</t>
  </si>
  <si>
    <t>https://ev-database.org/car/2231/Hyundai-INSTER-Long-Range</t>
  </si>
  <si>
    <t>INSTER Standard Range</t>
  </si>
  <si>
    <t>https://ev-database.org/car/2230/Hyundai-INSTER-Standard-Range</t>
  </si>
  <si>
    <t>IONIQ 5 63 kWh RWD (MY24)</t>
  </si>
  <si>
    <t>https://ev-database.org/car/2235/Hyundai-IONIQ-5-63-kWh-RWD</t>
  </si>
  <si>
    <t>IONIQ 5 84 kWh AWD (MY24)</t>
  </si>
  <si>
    <t>https://ev-database.org/car/2237/Hyundai-IONIQ-5-84-kWh-AWD</t>
  </si>
  <si>
    <t>IONIQ 5 84 kWh RWD (MY24)</t>
  </si>
  <si>
    <t>https://ev-database.org/car/2236/Hyundai-IONIQ-5-84-kWh-RWD</t>
  </si>
  <si>
    <t>IONIQ 5 N (MY24)</t>
  </si>
  <si>
    <t>480</t>
  </si>
  <si>
    <t>https://ev-database.org/car/2044/Hyundai-IONIQ-5-N</t>
  </si>
  <si>
    <t>IONIQ 6 Long Range 2WD</t>
  </si>
  <si>
    <t>401</t>
  </si>
  <si>
    <t>https://ev-database.org/car/1718/Hyundai-IONIQ-6-Long-Range-2WD</t>
  </si>
  <si>
    <t>IONIQ 6 Long Range AWD</t>
  </si>
  <si>
    <t>https://ev-database.org/car/1719/Hyundai-IONIQ-6-Long-Range-AWD</t>
  </si>
  <si>
    <t>IONIQ 6 Standard Range 2WD</t>
  </si>
  <si>
    <t>https://ev-database.org/car/1717/Hyundai-IONIQ-6-Standard-Range-2WD</t>
  </si>
  <si>
    <t>IONIQ 9 Long Range AWD</t>
  </si>
  <si>
    <t>338</t>
  </si>
  <si>
    <t>https://ev-database.org/car/3068/Hyundai-IONIQ-9-Long-Range-AWD</t>
  </si>
  <si>
    <t>IONIQ 9 Long Range RWD</t>
  </si>
  <si>
    <t>https://ev-database.org/car/3067/Hyundai-IONIQ-9-Long-Range-RWD</t>
  </si>
  <si>
    <t>IONIQ 9 Performance AWD</t>
  </si>
  <si>
    <t>https://ev-database.org/car/3069/Hyundai-IONIQ-9-Performance-AWD</t>
  </si>
  <si>
    <t>Kona Electric 48 kWh</t>
  </si>
  <si>
    <t>466</t>
  </si>
  <si>
    <t>https://ev-database.org/car/1829/Hyundai-Kona-Electric-48-kWh</t>
  </si>
  <si>
    <t>Kona Electric 65 kWh</t>
  </si>
  <si>
    <t>https://ev-database.org/car/1830/Hyundai-Kona-Electric-65-kWh</t>
  </si>
  <si>
    <t>Jaguar</t>
  </si>
  <si>
    <t>I-Pace EV400</t>
  </si>
  <si>
    <t>505</t>
  </si>
  <si>
    <t>https://ev-database.org/car/1812/Jaguar-I-Pace-EV400</t>
  </si>
  <si>
    <t>Jeep</t>
  </si>
  <si>
    <t>Avenger Electric</t>
  </si>
  <si>
    <t>355</t>
  </si>
  <si>
    <t>https://ev-database.org/car/1816/Jeep-Avenger-Electric</t>
  </si>
  <si>
    <t>Compass Electric 74 kWh</t>
  </si>
  <si>
    <t>550</t>
  </si>
  <si>
    <t>https://ev-database.org/car/3181/Jeep-Compass-Electric-74-kWh</t>
  </si>
  <si>
    <t>KGM</t>
  </si>
  <si>
    <t>Torres EVX</t>
  </si>
  <si>
    <t>839</t>
  </si>
  <si>
    <t>https://ev-database.org/car/2189/KGM-Torres-EVX</t>
  </si>
  <si>
    <t>Kia</t>
  </si>
  <si>
    <t>EV3 Long Range</t>
  </si>
  <si>
    <t>https://ev-database.org/car/2212/Kia-EV3-Long-Range</t>
  </si>
  <si>
    <t>EV3 Standard Range</t>
  </si>
  <si>
    <t>https://ev-database.org/car/2211/Kia-EV3-Standard-Range</t>
  </si>
  <si>
    <t>EV4 Hatchback Long Range</t>
  </si>
  <si>
    <t>435</t>
  </si>
  <si>
    <t>https://ev-database.org/car/3124/Kia-EV4-Hatchback-Long-Range</t>
  </si>
  <si>
    <t>EV4 Hatchback Standard Range</t>
  </si>
  <si>
    <t>https://ev-database.org/car/3123/Kia-EV4-Hatchback-Standard-Range</t>
  </si>
  <si>
    <t>EV4 Sedan Long Range</t>
  </si>
  <si>
    <t>https://ev-database.org/car/3122/Kia-EV4-Sedan-Long-Range</t>
  </si>
  <si>
    <t>EV4 Sedan Standard Range</t>
  </si>
  <si>
    <t>https://ev-database.org/car/3121/Kia-EV4-Sedan-Standard-Range</t>
  </si>
  <si>
    <t>EV6 GT</t>
  </si>
  <si>
    <t>https://ev-database.org/car/3079/Kia-EV6-GT</t>
  </si>
  <si>
    <t>EV6 Long Range 2WD</t>
  </si>
  <si>
    <t>https://ev-database.org/car/3028/Kia-EV6-Long-Range-2WD</t>
  </si>
  <si>
    <t>EV6 Long Range AWD</t>
  </si>
  <si>
    <t>https://ev-database.org/car/3029/Kia-EV6-Long-Range-AWD</t>
  </si>
  <si>
    <t>EV6 Standard Range 2WD</t>
  </si>
  <si>
    <t>https://ev-database.org/car/3030/Kia-EV6-Standard-Range-2WD</t>
  </si>
  <si>
    <t>EV9 76.1 kWh RWD</t>
  </si>
  <si>
    <t>https://ev-database.org/car/1833/Kia-EV9-761-kWh-RWD</t>
  </si>
  <si>
    <t>EV9 99.8 kWh AWD</t>
  </si>
  <si>
    <t>https://ev-database.org/car/1835/Kia-EV9-998-kWh-AWD</t>
  </si>
  <si>
    <t>EV9 99.8 kWh AWD GT</t>
  </si>
  <si>
    <t>https://ev-database.org/car/3196/Kia-EV9-998-kWh-AWD-GT</t>
  </si>
  <si>
    <t>EV9 99.8 kWh AWD GT-Line</t>
  </si>
  <si>
    <t>https://ev-database.org/car/1993/Kia-EV9-998-kWh-AWD-GT-Line</t>
  </si>
  <si>
    <t>EV9 99.8 kWh RWD</t>
  </si>
  <si>
    <t>https://ev-database.org/car/1834/Kia-EV9-998-kWh-RWD</t>
  </si>
  <si>
    <t>Niro EV</t>
  </si>
  <si>
    <t>475</t>
  </si>
  <si>
    <t>https://ev-database.org/car/1666/Kia-Niro-EV</t>
  </si>
  <si>
    <t>Lancia</t>
  </si>
  <si>
    <t>Ypsilon</t>
  </si>
  <si>
    <t>309</t>
  </si>
  <si>
    <t>https://ev-database.org/car/2117/Lancia-Ypsilon</t>
  </si>
  <si>
    <t>Leapmotor</t>
  </si>
  <si>
    <t>C10</t>
  </si>
  <si>
    <t>https://ev-database.org/car/3040/Leapmotor-C10</t>
  </si>
  <si>
    <t>T03</t>
  </si>
  <si>
    <t>210</t>
  </si>
  <si>
    <t>https://ev-database.org/car/3039/Leapmotor-T03</t>
  </si>
  <si>
    <t>Lexus</t>
  </si>
  <si>
    <t>RZ 300e</t>
  </si>
  <si>
    <t>522</t>
  </si>
  <si>
    <t>https://ev-database.org/car/3027/Lexus-RZ-300e</t>
  </si>
  <si>
    <t>RZ 450e</t>
  </si>
  <si>
    <t>https://ev-database.org/car/1677/Lexus-RZ-450e</t>
  </si>
  <si>
    <t>UX 300e</t>
  </si>
  <si>
    <t>CHAdeMO</t>
  </si>
  <si>
    <t>316</t>
  </si>
  <si>
    <t>https://ev-database.org/car/1943/Lexus-UX-300e</t>
  </si>
  <si>
    <t>Lotus</t>
  </si>
  <si>
    <t>Eletre</t>
  </si>
  <si>
    <t>611</t>
  </si>
  <si>
    <t>https://ev-database.org/car/1767/Lotus-Eletre</t>
  </si>
  <si>
    <t>Eletre R</t>
  </si>
  <si>
    <t>https://ev-database.org/car/1768/Lotus-Eletre-R</t>
  </si>
  <si>
    <t>Eletre S</t>
  </si>
  <si>
    <t>https://ev-database.org/car/2066/Lotus-Eletre-S</t>
  </si>
  <si>
    <t>Emeya</t>
  </si>
  <si>
    <t>509</t>
  </si>
  <si>
    <t>https://ev-database.org/car/2141/Lotus-Emeya</t>
  </si>
  <si>
    <t>Emeya R</t>
  </si>
  <si>
    <t>https://ev-database.org/car/2143/Lotus-Emeya-R</t>
  </si>
  <si>
    <t>Emeya S</t>
  </si>
  <si>
    <t>https://ev-database.org/car/2142/Lotus-Emeya-S</t>
  </si>
  <si>
    <t>Lucid</t>
  </si>
  <si>
    <t>Air Grand Touring</t>
  </si>
  <si>
    <t>456</t>
  </si>
  <si>
    <t>https://ev-database.org/car/1316/Lucid-Air-Grand-Touring</t>
  </si>
  <si>
    <t>Air Pure RWD</t>
  </si>
  <si>
    <t>https://ev-database.org/car/2116/Lucid-Air-Pure-RWD</t>
  </si>
  <si>
    <t>Air Touring</t>
  </si>
  <si>
    <t>https://ev-database.org/car/1317/Lucid-Air-Touring</t>
  </si>
  <si>
    <t>Lynk&amp;Co</t>
  </si>
  <si>
    <t>02</t>
  </si>
  <si>
    <t>410</t>
  </si>
  <si>
    <t>https://ev-database.org/car/3045/LynkCo-02</t>
  </si>
  <si>
    <t>MG</t>
  </si>
  <si>
    <t>Cyberster GT</t>
  </si>
  <si>
    <t>249</t>
  </si>
  <si>
    <t>G - Sports</t>
  </si>
  <si>
    <t>https://ev-database.org/car/2203/MG-Cyberster-GT</t>
  </si>
  <si>
    <t>Cyberster Trophy</t>
  </si>
  <si>
    <t>https://ev-database.org/car/2202/MG-Cyberster-Trophy</t>
  </si>
  <si>
    <t>4 Electric 51 kWh</t>
  </si>
  <si>
    <t>363</t>
  </si>
  <si>
    <t>https://ev-database.org/car/1707/MG-MG4-Electric-51-kWh</t>
  </si>
  <si>
    <t>4 Electric 64 kWh</t>
  </si>
  <si>
    <t>https://ev-database.org/car/1708/MG-MG4-Electric-64-kWh</t>
  </si>
  <si>
    <t>4 Electric 77 kWh</t>
  </si>
  <si>
    <t>https://ev-database.org/car/1973/MG-MG4-Electric-77-kWh</t>
  </si>
  <si>
    <t>4 Electric XPOWER</t>
  </si>
  <si>
    <t>https://ev-database.org/car/1944/MG-MG4-Electric-XPOWER</t>
  </si>
  <si>
    <t>5 Electric Long Range</t>
  </si>
  <si>
    <t>479</t>
  </si>
  <si>
    <t>https://ev-database.org/car/1474/MG-MG5-Electric-Long-Range</t>
  </si>
  <si>
    <t>5 Electric Standard Range</t>
  </si>
  <si>
    <t>https://ev-database.org/car/1646/MG-MG5-Electric-Standard-Range</t>
  </si>
  <si>
    <t>S5  EV 49 kWh</t>
  </si>
  <si>
    <t>453</t>
  </si>
  <si>
    <t>https://ev-database.org/car/3146/MG-MGS5--EV-49-kWh</t>
  </si>
  <si>
    <t>S5  EV 64 kWh</t>
  </si>
  <si>
    <t>https://ev-database.org/car/3147/MG-MGS5--EV-64-kWh</t>
  </si>
  <si>
    <t>ZS EV Long Range</t>
  </si>
  <si>
    <t>448</t>
  </si>
  <si>
    <t>https://ev-database.org/car/1541/MG-ZS-EV-Long-Range</t>
  </si>
  <si>
    <t>ZS EV Standard Range</t>
  </si>
  <si>
    <t>https://ev-database.org/car/1540/MG-ZS-EV-Standard-Range</t>
  </si>
  <si>
    <t>Maserati</t>
  </si>
  <si>
    <t>GranCabrio Folgore</t>
  </si>
  <si>
    <t>151</t>
  </si>
  <si>
    <t>https://ev-database.org/car/2187/Maserati-GranCabrio-Folgore</t>
  </si>
  <si>
    <t>GranTurismo Folgore</t>
  </si>
  <si>
    <t>270</t>
  </si>
  <si>
    <t>Coupe</t>
  </si>
  <si>
    <t>https://ev-database.org/car/1803/Maserati-GranTurismo-Folgore</t>
  </si>
  <si>
    <t>Grecale Folgore</t>
  </si>
  <si>
    <t>https://ev-database.org/car/1843/Maserati-Grecale-Folgore</t>
  </si>
  <si>
    <t>Maxus</t>
  </si>
  <si>
    <t>MIFA 9</t>
  </si>
  <si>
    <t>31 Banana Boxes</t>
  </si>
  <si>
    <t>https://ev-database.org/car/1837/Maxus-MIFA-9</t>
  </si>
  <si>
    <t>Mazda</t>
  </si>
  <si>
    <t>6e 68.8 kWh</t>
  </si>
  <si>
    <t>https://ev-database.org/car/3107/Mazda-6e-688-kWh</t>
  </si>
  <si>
    <t>6e Long Range 80 kWh</t>
  </si>
  <si>
    <t>https://ev-database.org/car/3108/Mazda-6e-Long-Range-80-kWh</t>
  </si>
  <si>
    <t>Mercedes-Benz</t>
  </si>
  <si>
    <t>CLA 250+</t>
  </si>
  <si>
    <t>https://ev-database.org/car/3139/Mercedes-Benz-CLA-250plus</t>
  </si>
  <si>
    <t>CLA 350 4MATIC</t>
  </si>
  <si>
    <t>https://ev-database.org/car/3140/Mercedes-Benz-CLA-350-4MATIC</t>
  </si>
  <si>
    <t>EQA 250</t>
  </si>
  <si>
    <t>340</t>
  </si>
  <si>
    <t>https://ev-database.org/car/1984/Mercedes-Benz-EQA-250</t>
  </si>
  <si>
    <t>EQA 250+</t>
  </si>
  <si>
    <t>https://ev-database.org/car/1985/Mercedes-Benz-EQA-250plus</t>
  </si>
  <si>
    <t>EQA 300 4MATIC</t>
  </si>
  <si>
    <t>https://ev-database.org/car/1986/Mercedes-Benz-EQA-300-4MATIC</t>
  </si>
  <si>
    <t>EQA 350 4MATIC</t>
  </si>
  <si>
    <t>https://ev-database.org/car/1987/Mercedes-Benz-EQA-350-4MATIC</t>
  </si>
  <si>
    <t>EQB 250+</t>
  </si>
  <si>
    <t>495</t>
  </si>
  <si>
    <t>https://ev-database.org/car/1988/Mercedes-Benz-EQB-250plus</t>
  </si>
  <si>
    <t>EQB 300 4MATIC</t>
  </si>
  <si>
    <t>https://ev-database.org/car/1989/Mercedes-Benz-EQB-300-4MATIC</t>
  </si>
  <si>
    <t>EQB 350 4MATIC</t>
  </si>
  <si>
    <t>https://ev-database.org/car/1990/Mercedes-Benz-EQB-350-4MATIC</t>
  </si>
  <si>
    <t>EQE 300</t>
  </si>
  <si>
    <t>430</t>
  </si>
  <si>
    <t>https://ev-database.org/car/2204/Mercedes-Benz-EQE-300</t>
  </si>
  <si>
    <t>EQE 350 4MATIC</t>
  </si>
  <si>
    <t>https://ev-database.org/car/2206/Mercedes-Benz-EQE-350-4MATIC</t>
  </si>
  <si>
    <t>EQE 350+</t>
  </si>
  <si>
    <t>https://ev-database.org/car/2205/Mercedes-Benz-EQE-350plus</t>
  </si>
  <si>
    <t>EQE 500 4MATIC</t>
  </si>
  <si>
    <t>https://ev-database.org/car/2207/Mercedes-Benz-EQE-500-4MATIC</t>
  </si>
  <si>
    <t>EQE AMG 43 4MATIC</t>
  </si>
  <si>
    <t>https://ev-database.org/car/2208/Mercedes-Benz-EQE-AMG-43-4MATIC</t>
  </si>
  <si>
    <t>EQE AMG 53 4MATIC+</t>
  </si>
  <si>
    <t>https://ev-database.org/car/2209/Mercedes-Benz-EQE-AMG-53-4MATICplus</t>
  </si>
  <si>
    <t>EQE SUV 300</t>
  </si>
  <si>
    <t>https://ev-database.org/car/2045/Mercedes-Benz-EQE-SUV-300</t>
  </si>
  <si>
    <t>EQE SUV 350 4MATIC</t>
  </si>
  <si>
    <t>https://ev-database.org/car/2047/Mercedes-Benz-EQE-SUV-350-4MATIC</t>
  </si>
  <si>
    <t>EQE SUV 350+</t>
  </si>
  <si>
    <t>https://ev-database.org/car/2046/Mercedes-Benz-EQE-SUV-350plus</t>
  </si>
  <si>
    <t>EQE SUV 500 4MATIC</t>
  </si>
  <si>
    <t>https://ev-database.org/car/2048/Mercedes-Benz-EQE-SUV-500-4MATIC</t>
  </si>
  <si>
    <t>EQE SUV AMG 43 4MATIC</t>
  </si>
  <si>
    <t>https://ev-database.org/car/1763/Mercedes-Benz-EQE-SUV-AMG-43-4MATIC</t>
  </si>
  <si>
    <t>EQE SUV AMG 53 4MATIC+</t>
  </si>
  <si>
    <t>https://ev-database.org/car/1764/Mercedes-Benz-EQE-SUV-AMG-53-4MATICplus</t>
  </si>
  <si>
    <t>EQS 350</t>
  </si>
  <si>
    <t>https://ev-database.org/car/2155/Mercedes-Benz-EQS-350</t>
  </si>
  <si>
    <t>EQS 450 4MATIC</t>
  </si>
  <si>
    <t>https://ev-database.org/car/2194/Mercedes-Benz-EQS-450-4MATIC</t>
  </si>
  <si>
    <t>EQS 450+</t>
  </si>
  <si>
    <t>https://ev-database.org/car/2193/Mercedes-Benz-EQS-450plus</t>
  </si>
  <si>
    <t>EQS 500 4MATIC</t>
  </si>
  <si>
    <t>https://ev-database.org/car/2195/Mercedes-Benz-EQS-500-4MATIC</t>
  </si>
  <si>
    <t>EQS 580 4MATIC</t>
  </si>
  <si>
    <t>https://ev-database.org/car/2196/Mercedes-Benz-EQS-580-4MATIC</t>
  </si>
  <si>
    <t>EQS AMG 53 4MATIC+</t>
  </si>
  <si>
    <t>https://ev-database.org/car/2197/Mercedes-Benz-EQS-AMG-53-4MATICplus</t>
  </si>
  <si>
    <t>EQS SUV 450 4MATIC</t>
  </si>
  <si>
    <t>645</t>
  </si>
  <si>
    <t>https://ev-database.org/car/2088/Mercedes-Benz-EQS-SUV-450-4MATIC</t>
  </si>
  <si>
    <t>EQS SUV 450+</t>
  </si>
  <si>
    <t>https://ev-database.org/car/2087/Mercedes-Benz-EQS-SUV-450plus</t>
  </si>
  <si>
    <t>EQS SUV 500 4MATIC</t>
  </si>
  <si>
    <t>https://ev-database.org/car/2089/Mercedes-Benz-EQS-SUV-500-4MATIC</t>
  </si>
  <si>
    <t>EQS SUV 580 4MATIC</t>
  </si>
  <si>
    <t>13 Banana Boxes</t>
  </si>
  <si>
    <t>https://ev-database.org/car/2090/Mercedes-Benz-EQS-SUV-580-4MATIC</t>
  </si>
  <si>
    <t>EQS SUV Maybach 680</t>
  </si>
  <si>
    <t>https://ev-database.org/car/2086/Mercedes-Benz-EQS-SUV-Maybach-680</t>
  </si>
  <si>
    <t>EQT 200 Long</t>
  </si>
  <si>
    <t>828</t>
  </si>
  <si>
    <t>https://ev-database.org/car/2239/Mercedes-Benz-EQT-200-Long</t>
  </si>
  <si>
    <t>EQT 200 Standard</t>
  </si>
  <si>
    <t>551</t>
  </si>
  <si>
    <t>https://ev-database.org/car/1908/Mercedes-Benz-EQT-200-Standard</t>
  </si>
  <si>
    <t>EQV 250 Extra-Long</t>
  </si>
  <si>
    <t>1410</t>
  </si>
  <si>
    <t>https://ev-database.org/car/2130/Mercedes-Benz-EQV-250-Extra-Long</t>
  </si>
  <si>
    <t>EQV 250 Long</t>
  </si>
  <si>
    <t>1030</t>
  </si>
  <si>
    <t>https://ev-database.org/car/2129/Mercedes-Benz-EQV-250-Long</t>
  </si>
  <si>
    <t>EQV 300 Extra-Long</t>
  </si>
  <si>
    <t>https://ev-database.org/car/2274/Mercedes-Benz-EQV-300-Extra-Long</t>
  </si>
  <si>
    <t>EQV 300 Long</t>
  </si>
  <si>
    <t>https://ev-database.org/car/2131/Mercedes-Benz-EQV-300-Long</t>
  </si>
  <si>
    <t>G 580</t>
  </si>
  <si>
    <t>555</t>
  </si>
  <si>
    <t>https://ev-database.org/car/2192/Mercedes-Benz-G-580</t>
  </si>
  <si>
    <t>eVito Tourer Extra-Long 60 kWh</t>
  </si>
  <si>
    <t>1390</t>
  </si>
  <si>
    <t>https://ev-database.org/car/2139/Mercedes-Benz-eVito-Tourer-Extra-Long-60-kWh</t>
  </si>
  <si>
    <t>eVito Tourer Long 60 kWh</t>
  </si>
  <si>
    <t>990</t>
  </si>
  <si>
    <t>https://ev-database.org/car/2138/Mercedes-Benz-eVito-Tourer-Long-60-kWh</t>
  </si>
  <si>
    <t>eVito Tourer Long 90 kWh</t>
  </si>
  <si>
    <t>https://ev-database.org/car/2140/Mercedes-Benz-eVito-Tourer-Long-90-kWh</t>
  </si>
  <si>
    <t>Mini</t>
  </si>
  <si>
    <t>Aceman E</t>
  </si>
  <si>
    <t>300</t>
  </si>
  <si>
    <t>https://ev-database.org/car/2190/Mini-Aceman-E</t>
  </si>
  <si>
    <t>Aceman JCW</t>
  </si>
  <si>
    <t>https://ev-database.org/car/3059/Mini-Aceman-JCW</t>
  </si>
  <si>
    <t>Aceman SE</t>
  </si>
  <si>
    <t>https://ev-database.org/car/2191/Mini-Aceman-SE</t>
  </si>
  <si>
    <t>Cooper E</t>
  </si>
  <si>
    <t>200</t>
  </si>
  <si>
    <t>https://ev-database.org/car/1997/Mini-Cooper-E</t>
  </si>
  <si>
    <t>Cooper JCW</t>
  </si>
  <si>
    <t>https://ev-database.org/car/3058/Mini-Cooper-JCW</t>
  </si>
  <si>
    <t>Cooper SE</t>
  </si>
  <si>
    <t>https://ev-database.org/car/1998/Mini-Cooper-SE</t>
  </si>
  <si>
    <t>Countryman E</t>
  </si>
  <si>
    <t>https://ev-database.org/car/1994/Mini-Countryman-E</t>
  </si>
  <si>
    <t>Countryman SE ALL4</t>
  </si>
  <si>
    <t>https://ev-database.org/car/1995/Mini-Countryman-SE-ALL4</t>
  </si>
  <si>
    <t>NIO</t>
  </si>
  <si>
    <t>EL6 Long Range</t>
  </si>
  <si>
    <t>579</t>
  </si>
  <si>
    <t>https://ev-database.org/car/1922/NIO-EL6-Long-Range</t>
  </si>
  <si>
    <t>EL6 Standard Range</t>
  </si>
  <si>
    <t>https://ev-database.org/car/1921/NIO-EL6-Standard-Range</t>
  </si>
  <si>
    <t>EL7 Long Range</t>
  </si>
  <si>
    <t>https://ev-database.org/car/1789/NIO-EL7-Long-Range</t>
  </si>
  <si>
    <t>EL7 Standard Range</t>
  </si>
  <si>
    <t>https://ev-database.org/car/1788/NIO-EL7-Standard-Range</t>
  </si>
  <si>
    <t>EL8 Long Range</t>
  </si>
  <si>
    <t>265</t>
  </si>
  <si>
    <t>https://ev-database.org/car/2223/NIO-EL8-Long-Range</t>
  </si>
  <si>
    <t>EL8 Standard Range</t>
  </si>
  <si>
    <t>https://ev-database.org/car/2222/NIO-EL8-Standard-Range</t>
  </si>
  <si>
    <t>ET5 Long Range</t>
  </si>
  <si>
    <t>386</t>
  </si>
  <si>
    <t>https://ev-database.org/car/1787/NIO-ET5-Long-Range</t>
  </si>
  <si>
    <t>ET5 Standard Range</t>
  </si>
  <si>
    <t>https://ev-database.org/car/1786/NIO-ET5-Standard-Range</t>
  </si>
  <si>
    <t>ET5 Touring Long Range</t>
  </si>
  <si>
    <t>450</t>
  </si>
  <si>
    <t>https://ev-database.org/car/1916/NIO-ET5-Touring-Long-Range</t>
  </si>
  <si>
    <t>ET5 Touring Standard Range</t>
  </si>
  <si>
    <t>https://ev-database.org/car/1915/NIO-ET5-Touring-Standard-Range</t>
  </si>
  <si>
    <t>ET7 Long Range</t>
  </si>
  <si>
    <t>https://ev-database.org/car/1752/NIO-ET7-Long-Range</t>
  </si>
  <si>
    <t>ET7 Standard Range</t>
  </si>
  <si>
    <t>https://ev-database.org/car/1751/NIO-ET7-Standard-Range</t>
  </si>
  <si>
    <t>Nissan</t>
  </si>
  <si>
    <t>Ariya 63kWh</t>
  </si>
  <si>
    <t>468</t>
  </si>
  <si>
    <t>https://ev-database.org/car/1301/Nissan-Ariya-63kWh</t>
  </si>
  <si>
    <t>Ariya 87kWh</t>
  </si>
  <si>
    <t>https://ev-database.org/car/1302/Nissan-Ariya-87kWh</t>
  </si>
  <si>
    <t>Ariya e-4ORCE 87kWh - 225 kW</t>
  </si>
  <si>
    <t>415</t>
  </si>
  <si>
    <t>https://ev-database.org/car/1304/Nissan-Ariya-e-4ORCE-87kWh---225-kW</t>
  </si>
  <si>
    <t>Ariya e-4ORCE 87kWh - 320 kW Nismo</t>
  </si>
  <si>
    <t>https://ev-database.org/car/3074/Nissan-Ariya-e-4ORCE-87kWh---320-kW-Nismo</t>
  </si>
  <si>
    <t>Townstar EV Passenger</t>
  </si>
  <si>
    <t>819</t>
  </si>
  <si>
    <t>https://ev-database.org/car/2042/Nissan-Townstar-EV-Passenger</t>
  </si>
  <si>
    <t>Townstar EV Passenger L2</t>
  </si>
  <si>
    <t>https://ev-database.org/car/3084/Nissan-Townstar-EV-Passenger-L2</t>
  </si>
  <si>
    <t>Omoda</t>
  </si>
  <si>
    <t>E5</t>
  </si>
  <si>
    <t>https://ev-database.org/car/3046/Omoda-E5</t>
  </si>
  <si>
    <t>Opel</t>
  </si>
  <si>
    <t>Astra Electric</t>
  </si>
  <si>
    <t>352</t>
  </si>
  <si>
    <t>https://ev-database.org/car/1792/Opel-Astra-Electric</t>
  </si>
  <si>
    <t>Astra Sports Tourer Electric</t>
  </si>
  <si>
    <t>516</t>
  </si>
  <si>
    <t>https://ev-database.org/car/1793/Opel-Astra-Sports-Tourer-Electric</t>
  </si>
  <si>
    <t>Combo-e Life 50 kWh</t>
  </si>
  <si>
    <t>https://ev-database.org/car/2161/Opel-Combo-e-Life-50-kWh</t>
  </si>
  <si>
    <t>Combo-e Life XL 50 kWh</t>
  </si>
  <si>
    <t>https://ev-database.org/car/2162/Opel-Combo-e-Life-XL-50-kWh</t>
  </si>
  <si>
    <t>Corsa Electric 50 kWh</t>
  </si>
  <si>
    <t>267</t>
  </si>
  <si>
    <t>https://ev-database.org/car/1941/Opel-Corsa-Electric-50-kWh</t>
  </si>
  <si>
    <t>Corsa Electric 51 kWh</t>
  </si>
  <si>
    <t>https://ev-database.org/car/1942/Opel-Corsa-Electric-51-kWh</t>
  </si>
  <si>
    <t>Frontera 44 kWh</t>
  </si>
  <si>
    <t>https://ev-database.org/car/2238/Opel-Frontera-44-kWh</t>
  </si>
  <si>
    <t>Grandland 73 kWh</t>
  </si>
  <si>
    <t>https://ev-database.org/car/3037/Opel-Grandland-73-kWh</t>
  </si>
  <si>
    <t>Grandland 82 kWh</t>
  </si>
  <si>
    <t>https://ev-database.org/car/3038/Opel-Grandland-82-kWh</t>
  </si>
  <si>
    <t>Mokka Electric</t>
  </si>
  <si>
    <t>https://ev-database.org/car/3051/Opel-Mokka-Electric</t>
  </si>
  <si>
    <t>Zafira-e Life L2 50 kWh</t>
  </si>
  <si>
    <t>https://ev-database.org/car/2260/Opel-Zafira-e-Life-L2-50-kWh</t>
  </si>
  <si>
    <t>Zafira-e Life L2 75 kWh</t>
  </si>
  <si>
    <t>https://ev-database.org/car/2262/Opel-Zafira-e-Life-L2-75-kWh</t>
  </si>
  <si>
    <t>Zafira-e Life L3 50 kWh</t>
  </si>
  <si>
    <t>https://ev-database.org/car/2261/Opel-Zafira-e-Life-L3-50-kWh</t>
  </si>
  <si>
    <t>Zafira-e Life L3 75 kWh</t>
  </si>
  <si>
    <t>https://ev-database.org/car/2263/Opel-Zafira-e-Life-L3-75-kWh</t>
  </si>
  <si>
    <t>Peugeot</t>
  </si>
  <si>
    <t>e-2008 50 kWh</t>
  </si>
  <si>
    <t>434</t>
  </si>
  <si>
    <t>https://ev-database.org/car/1946/Peugeot-e-2008-50-kWh</t>
  </si>
  <si>
    <t>e-2008 54 kWh</t>
  </si>
  <si>
    <t>https://ev-database.org/car/1947/Peugeot-e-2008-54-kWh</t>
  </si>
  <si>
    <t>e-208 50 kWh</t>
  </si>
  <si>
    <t>https://ev-database.org/car/1948/Peugeot-e-208-50-kWh</t>
  </si>
  <si>
    <t>e-208 51 kWh</t>
  </si>
  <si>
    <t>https://ev-database.org/car/1949/Peugeot-e-208-51-kWh</t>
  </si>
  <si>
    <t>e-3008 73 kWh</t>
  </si>
  <si>
    <t>588</t>
  </si>
  <si>
    <t>https://ev-database.org/car/2003/Peugeot-e-3008-73-kWh</t>
  </si>
  <si>
    <t>e-3008 73 kWh Dual Motor</t>
  </si>
  <si>
    <t>https://ev-database.org/car/2004/Peugeot-e-3008-73-kWh-Dual-Motor</t>
  </si>
  <si>
    <t>e-3008 97 kWh Long Range</t>
  </si>
  <si>
    <t>https://ev-database.org/car/2005/Peugeot-e-3008-97-kWh-Long-Range</t>
  </si>
  <si>
    <t>e-308</t>
  </si>
  <si>
    <t>412</t>
  </si>
  <si>
    <t>https://ev-database.org/car/1744/Peugeot-e-308</t>
  </si>
  <si>
    <t>e-308 SW</t>
  </si>
  <si>
    <t>608</t>
  </si>
  <si>
    <t>https://ev-database.org/car/1745/Peugeot-e-308-SW</t>
  </si>
  <si>
    <t>e-408 58 kWh</t>
  </si>
  <si>
    <t>471</t>
  </si>
  <si>
    <t>https://ev-database.org/car/3066/Peugeot-e-408-58-kWh</t>
  </si>
  <si>
    <t>e-5008 73 kWh</t>
  </si>
  <si>
    <t>348</t>
  </si>
  <si>
    <t>https://ev-database.org/car/2149/Peugeot-e-5008-73-kWh</t>
  </si>
  <si>
    <t>e-5008 73 kWh Dual Motor</t>
  </si>
  <si>
    <t>https://ev-database.org/car/2150/Peugeot-e-5008-73-kWh-Dual-Motor</t>
  </si>
  <si>
    <t>e-5008 97 kWh Long Range</t>
  </si>
  <si>
    <t>https://ev-database.org/car/2151/Peugeot-e-5008-97-kWh-Long-Range</t>
  </si>
  <si>
    <t>e-Rifter M 50 kWh</t>
  </si>
  <si>
    <t>https://ev-database.org/car/2163/Peugeot-e-Rifter-M-50-kWh</t>
  </si>
  <si>
    <t>e-Rifter XL 50 kWh</t>
  </si>
  <si>
    <t>https://ev-database.org/car/2164/Peugeot-e-Rifter-XL-50-kWh</t>
  </si>
  <si>
    <t>e-Traveller L2 50 kWh</t>
  </si>
  <si>
    <t>https://ev-database.org/car/2256/Peugeot-e-Traveller-L2-50-kWh</t>
  </si>
  <si>
    <t>e-Traveller L2 75 kWh</t>
  </si>
  <si>
    <t>https://ev-database.org/car/2258/Peugeot-e-Traveller-L2-75-kWh</t>
  </si>
  <si>
    <t>e-Traveller L3 50 kWh</t>
  </si>
  <si>
    <t>https://ev-database.org/car/2257/Peugeot-e-Traveller-L3-50-kWh</t>
  </si>
  <si>
    <t>e-Traveller L3 75 kWh</t>
  </si>
  <si>
    <t>https://ev-database.org/car/2259/Peugeot-e-Traveller-L3-75-kWh</t>
  </si>
  <si>
    <t>Polestar</t>
  </si>
  <si>
    <t>2 Long Range Dual Motor (MY26)</t>
  </si>
  <si>
    <t>407</t>
  </si>
  <si>
    <t>https://ev-database.org/car/3152/Polestar-2-Long-Range-Dual-Motor</t>
  </si>
  <si>
    <t>2 Long Range Performance (MY26)</t>
  </si>
  <si>
    <t>https://ev-database.org/car/3153/Polestar-2-Long-Range-Performance</t>
  </si>
  <si>
    <t>2 Long Range Single Motor (MY26)</t>
  </si>
  <si>
    <t>https://ev-database.org/car/3151/Polestar-2-Long-Range-Single-Motor</t>
  </si>
  <si>
    <t>2 Standard Range Single Motor (MY26)</t>
  </si>
  <si>
    <t>https://ev-database.org/car/3150/Polestar-2-Standard-Range-Single-Motor</t>
  </si>
  <si>
    <t>3 Long Range Dual motor</t>
  </si>
  <si>
    <t>484</t>
  </si>
  <si>
    <t>https://ev-database.org/car/1758/Polestar-3-Long-Range-Dual-motor</t>
  </si>
  <si>
    <t>3 Long Range Performance</t>
  </si>
  <si>
    <t>https://ev-database.org/car/1759/Polestar-3-Long-Range-Performance</t>
  </si>
  <si>
    <t>3 Long Range Single motor</t>
  </si>
  <si>
    <t>https://ev-database.org/car/2229/Polestar-3-Long-Range-Single-motor</t>
  </si>
  <si>
    <t>4 Long Range Dual Motor</t>
  </si>
  <si>
    <t>https://ev-database.org/car/1842/Polestar-4-Long-Range-Dual-Motor</t>
  </si>
  <si>
    <t>4 Long Range Single Motor</t>
  </si>
  <si>
    <t>https://ev-database.org/car/1841/Polestar-4-Long-Range-Single-Motor</t>
  </si>
  <si>
    <t>Porsche</t>
  </si>
  <si>
    <t>Macan 4 Electric</t>
  </si>
  <si>
    <t>https://ev-database.org/car/2084/Porsche-Macan-4-Electric</t>
  </si>
  <si>
    <t>Macan 4S Electric</t>
  </si>
  <si>
    <t>https://ev-database.org/car/2244/Porsche-Macan-4S-Electric</t>
  </si>
  <si>
    <t>Macan Electric</t>
  </si>
  <si>
    <t>https://ev-database.org/car/2083/Porsche-Macan-Electric</t>
  </si>
  <si>
    <t>Macan Turbo Electric</t>
  </si>
  <si>
    <t>https://ev-database.org/car/2085/Porsche-Macan-Turbo-Electric</t>
  </si>
  <si>
    <t>Taycan</t>
  </si>
  <si>
    <t>https://ev-database.org/car/2098/Porsche-Taycan</t>
  </si>
  <si>
    <t>Taycan 4</t>
  </si>
  <si>
    <t>https://ev-database.org/car/3060/Porsche-Taycan-4</t>
  </si>
  <si>
    <t>Taycan 4 Cross Turismo</t>
  </si>
  <si>
    <t>446</t>
  </si>
  <si>
    <t>https://ev-database.org/car/2110/Porsche-Taycan-4-Cross-Turismo</t>
  </si>
  <si>
    <t>Taycan 4 Plus</t>
  </si>
  <si>
    <t>https://ev-database.org/car/3061/Porsche-Taycan-4-Plus</t>
  </si>
  <si>
    <t>Taycan 4S</t>
  </si>
  <si>
    <t>https://ev-database.org/car/2100/Porsche-Taycan-4S</t>
  </si>
  <si>
    <t>Taycan 4S Cross Turismo</t>
  </si>
  <si>
    <t>https://ev-database.org/car/2111/Porsche-Taycan-4S-Cross-Turismo</t>
  </si>
  <si>
    <t>Taycan 4S Plus</t>
  </si>
  <si>
    <t>https://ev-database.org/car/2101/Porsche-Taycan-4S-Plus</t>
  </si>
  <si>
    <t>Taycan 4S Plus Sport Turismo</t>
  </si>
  <si>
    <t>https://ev-database.org/car/2107/Porsche-Taycan-4S-Plus-Sport-Turismo</t>
  </si>
  <si>
    <t>Taycan 4S Sport Turismo</t>
  </si>
  <si>
    <t>https://ev-database.org/car/2106/Porsche-Taycan-4S-Sport-Turismo</t>
  </si>
  <si>
    <t>Taycan GTS</t>
  </si>
  <si>
    <t>366</t>
  </si>
  <si>
    <t>https://ev-database.org/car/3062/Porsche-Taycan-GTS</t>
  </si>
  <si>
    <t>Taycan GTS Sport Turismo</t>
  </si>
  <si>
    <t>https://ev-database.org/car/3063/Porsche-Taycan-GTS-Sport-Turismo</t>
  </si>
  <si>
    <t>Taycan Plus</t>
  </si>
  <si>
    <t>https://ev-database.org/car/2099/Porsche-Taycan-Plus</t>
  </si>
  <si>
    <t>Taycan Plus Sport Turismo</t>
  </si>
  <si>
    <t>https://ev-database.org/car/2105/Porsche-Taycan-Plus-Sport-Turismo</t>
  </si>
  <si>
    <t>Taycan Sport Turismo</t>
  </si>
  <si>
    <t>https://ev-database.org/car/2104/Porsche-Taycan-Sport-Turismo</t>
  </si>
  <si>
    <t>Taycan Turbo</t>
  </si>
  <si>
    <t>https://ev-database.org/car/2102/Porsche-Taycan-Turbo</t>
  </si>
  <si>
    <t>Taycan Turbo Cross Turismo</t>
  </si>
  <si>
    <t>https://ev-database.org/car/2112/Porsche-Taycan-Turbo-Cross-Turismo</t>
  </si>
  <si>
    <t>Taycan Turbo GT</t>
  </si>
  <si>
    <t>https://ev-database.org/car/2144/Porsche-Taycan-Turbo-GT</t>
  </si>
  <si>
    <t>Taycan Turbo GT Weissach</t>
  </si>
  <si>
    <t>367</t>
  </si>
  <si>
    <t>https://ev-database.org/car/2145/Porsche-Taycan-Turbo-GT-Weissach</t>
  </si>
  <si>
    <t>Taycan Turbo S</t>
  </si>
  <si>
    <t>https://ev-database.org/car/2103/Porsche-Taycan-Turbo-S</t>
  </si>
  <si>
    <t>Taycan Turbo S Cross Turismo</t>
  </si>
  <si>
    <t>https://ev-database.org/car/2113/Porsche-Taycan-Turbo-S-Cross-Turismo</t>
  </si>
  <si>
    <t>Taycan Turbo S Sport Turismo</t>
  </si>
  <si>
    <t>https://ev-database.org/car/2109/Porsche-Taycan-Turbo-S-Sport-Turismo</t>
  </si>
  <si>
    <t>Taycan Turbo Sport Turismo</t>
  </si>
  <si>
    <t>https://ev-database.org/car/2108/Porsche-Taycan-Turbo-Sport-Turismo</t>
  </si>
  <si>
    <t>Renault</t>
  </si>
  <si>
    <t>4 E-Tech 40kWh 120hp</t>
  </si>
  <si>
    <t>420</t>
  </si>
  <si>
    <t>https://ev-database.org/car/3126/Renault-4-E-Tech-40kWh-120hp</t>
  </si>
  <si>
    <t>4 E-Tech 52kWh 150hp</t>
  </si>
  <si>
    <t>https://ev-database.org/car/3127/Renault-4-E-Tech-52kWh-150hp</t>
  </si>
  <si>
    <t>5 E-Tech 40kWh 120hp</t>
  </si>
  <si>
    <t>https://ev-database.org/car/2134/Renault-5-E-Tech-40kWh-120hp</t>
  </si>
  <si>
    <t>5 E-Tech 40kWh 95hp</t>
  </si>
  <si>
    <t>https://ev-database.org/car/2133/Renault-5-E-Tech-40kWh-95hp</t>
  </si>
  <si>
    <t>5 E-Tech 52kWh 150hp</t>
  </si>
  <si>
    <t>https://ev-database.org/car/2135/Renault-5-E-Tech-52kWh-150hp</t>
  </si>
  <si>
    <t>Kangoo E-Tech Electric</t>
  </si>
  <si>
    <t>950</t>
  </si>
  <si>
    <t>https://ev-database.org/car/1802/Renault-Kangoo-E-Tech-Electric</t>
  </si>
  <si>
    <t>Kangoo Grand E-Tech Electric</t>
  </si>
  <si>
    <t>https://ev-database.org/car/2043/Renault-Kangoo-Grand-E-Tech-Electric</t>
  </si>
  <si>
    <t>Megane E-Tech EV60 130hp (TU2025)</t>
  </si>
  <si>
    <t>https://ev-database.org/car/3131/Renault-Megane-E-Tech-EV60-130hp</t>
  </si>
  <si>
    <t>Megane E-Tech EV60 220hp (TU2025)</t>
  </si>
  <si>
    <t>https://ev-database.org/car/3132/Renault-Megane-E-Tech-EV60-220hp</t>
  </si>
  <si>
    <t>Scenic E-Tech EV60 170hp</t>
  </si>
  <si>
    <t>545</t>
  </si>
  <si>
    <t>https://ev-database.org/car/2068/Renault-Scenic-E-Tech-EV60-170hp</t>
  </si>
  <si>
    <t>Scenic E-Tech EV87 220hp</t>
  </si>
  <si>
    <t>https://ev-database.org/car/2069/Renault-Scenic-E-Tech-EV87-220hp</t>
  </si>
  <si>
    <t>Rolls-Royce</t>
  </si>
  <si>
    <t>Spectre</t>
  </si>
  <si>
    <t>I - Luxury</t>
  </si>
  <si>
    <t>https://ev-database.org/car/1765/Rolls-Royce-Spectre</t>
  </si>
  <si>
    <t>Skoda</t>
  </si>
  <si>
    <t>Elroq 50</t>
  </si>
  <si>
    <t>https://ev-database.org/car/3031/Skoda-Elroq-50</t>
  </si>
  <si>
    <t>Elroq 60</t>
  </si>
  <si>
    <t>https://ev-database.org/car/3032/Skoda-Elroq-60</t>
  </si>
  <si>
    <t>Elroq 85</t>
  </si>
  <si>
    <t>https://ev-database.org/car/3033/Skoda-Elroq-85</t>
  </si>
  <si>
    <t>Elroq RS</t>
  </si>
  <si>
    <t>https://ev-database.org/car/3183/Skoda-Elroq-RS</t>
  </si>
  <si>
    <t>Enyaq 60</t>
  </si>
  <si>
    <t>585</t>
  </si>
  <si>
    <t>https://ev-database.org/car/3096/Skoda-Enyaq-60</t>
  </si>
  <si>
    <t>Enyaq 85</t>
  </si>
  <si>
    <t>https://ev-database.org/car/3097/Skoda-Enyaq-85</t>
  </si>
  <si>
    <t>Enyaq 85x</t>
  </si>
  <si>
    <t>https://ev-database.org/car/3098/Skoda-Enyaq-85x</t>
  </si>
  <si>
    <t>Enyaq Coupe 60</t>
  </si>
  <si>
    <t>https://ev-database.org/car/3099/Skoda-Enyaq-Coupe-60</t>
  </si>
  <si>
    <t>Enyaq Coupe 85</t>
  </si>
  <si>
    <t>https://ev-database.org/car/3100/Skoda-Enyaq-Coupe-85</t>
  </si>
  <si>
    <t>Enyaq Coupe 85x</t>
  </si>
  <si>
    <t>https://ev-database.org/car/3101/Skoda-Enyaq-Coupe-85x</t>
  </si>
  <si>
    <t>Enyaq Coupe RS</t>
  </si>
  <si>
    <t>https://ev-database.org/car/3185/Skoda-Enyaq-Coupe-RS</t>
  </si>
  <si>
    <t>Enyaq RS</t>
  </si>
  <si>
    <t>https://ev-database.org/car/3184/Skoda-Enyaq-RS</t>
  </si>
  <si>
    <t>Skywell</t>
  </si>
  <si>
    <t>BE11 Long Range</t>
  </si>
  <si>
    <t>https://ev-database.org/car/3065/Skywell-BE11-Long-Range</t>
  </si>
  <si>
    <t>BE11 Standard Range</t>
  </si>
  <si>
    <t>https://ev-database.org/car/3064/Skywell-BE11-Standard-Range</t>
  </si>
  <si>
    <t>Smart</t>
  </si>
  <si>
    <t>#1 Brabus</t>
  </si>
  <si>
    <t>313</t>
  </si>
  <si>
    <t>https://ev-database.org/car/1748/Smart-1-Brabus</t>
  </si>
  <si>
    <t>#1 Premium</t>
  </si>
  <si>
    <t>323</t>
  </si>
  <si>
    <t>https://ev-database.org/car/2053/Smart-1-Premium</t>
  </si>
  <si>
    <t>#1 Pro</t>
  </si>
  <si>
    <t>https://ev-database.org/car/2041/Smart-1-Pro</t>
  </si>
  <si>
    <t>#1 Pro+</t>
  </si>
  <si>
    <t>https://ev-database.org/car/1667/Smart-1-Proplus</t>
  </si>
  <si>
    <t>#1 Pulse</t>
  </si>
  <si>
    <t>https://ev-database.org/car/1920/Smart-1-Pulse</t>
  </si>
  <si>
    <t>#1 Pure</t>
  </si>
  <si>
    <t>https://ev-database.org/car/2217/Smart-1-Pure</t>
  </si>
  <si>
    <t>#1 Pure+</t>
  </si>
  <si>
    <t>https://ev-database.org/car/2218/Smart-1-Pureplus</t>
  </si>
  <si>
    <t>#3 Brabus</t>
  </si>
  <si>
    <t>370</t>
  </si>
  <si>
    <t>https://ev-database.org/car/2000/Smart-3-Brabus</t>
  </si>
  <si>
    <t>#3 Premium</t>
  </si>
  <si>
    <t>https://ev-database.org/car/2054/Smart-3-Premium</t>
  </si>
  <si>
    <t>#3 Pro</t>
  </si>
  <si>
    <t>https://ev-database.org/car/2052/Smart-3-Pro</t>
  </si>
  <si>
    <t>#3 Pro+</t>
  </si>
  <si>
    <t>https://ev-database.org/car/1999/Smart-3-Proplus</t>
  </si>
  <si>
    <t>#5 Brabus</t>
  </si>
  <si>
    <t>630</t>
  </si>
  <si>
    <t>https://ev-database.org/car/3179/Smart-5-Brabus</t>
  </si>
  <si>
    <t>#5 Premium</t>
  </si>
  <si>
    <t>https://ev-database.org/car/3143/Smart-5-Premium</t>
  </si>
  <si>
    <t>#5 Pro</t>
  </si>
  <si>
    <t>https://ev-database.org/car/3141/Smart-5-Pro</t>
  </si>
  <si>
    <t>#5 Pro+</t>
  </si>
  <si>
    <t>https://ev-database.org/car/3142/Smart-5-Proplus</t>
  </si>
  <si>
    <t>#5 Pulse</t>
  </si>
  <si>
    <t>https://ev-database.org/car/3144/Smart-5-Pulse</t>
  </si>
  <si>
    <t>#5 Summit Edition</t>
  </si>
  <si>
    <t>https://ev-database.org/car/3145/Smart-5-Summit-Edition</t>
  </si>
  <si>
    <t>Subaru</t>
  </si>
  <si>
    <t>Solterra AWD</t>
  </si>
  <si>
    <t>441</t>
  </si>
  <si>
    <t>https://ev-database.org/car/1567/Subaru-Solterra-AWD</t>
  </si>
  <si>
    <t>Tesla</t>
  </si>
  <si>
    <t>Model 3 Long Range AWD (Highland)</t>
  </si>
  <si>
    <t>594</t>
  </si>
  <si>
    <t>https://ev-database.org/car/1992/Tesla-Model-3-Long-Range-AWD</t>
  </si>
  <si>
    <t>Model 3 Long Range RWD (Highland)</t>
  </si>
  <si>
    <t>https://ev-database.org/car/3034/Tesla-Model-3-Long-Range-RWD</t>
  </si>
  <si>
    <t>Model 3 Performance (Highland)</t>
  </si>
  <si>
    <t>https://ev-database.org/car/2188/Tesla-Model-3-Performance</t>
  </si>
  <si>
    <t>Model 3 RWD (Highland CATL LFP64)</t>
  </si>
  <si>
    <t>https://ev-database.org/car/3186/Tesla-Model-3-RWD</t>
  </si>
  <si>
    <t>Model S Dual Motor</t>
  </si>
  <si>
    <t>709</t>
  </si>
  <si>
    <t>https://ev-database.org/car/1404/Tesla-Model-S-Dual-Motor</t>
  </si>
  <si>
    <t>Model S Plaid</t>
  </si>
  <si>
    <t>https://ev-database.org/car/1405/Tesla-Model-S-Plaid</t>
  </si>
  <si>
    <t>Model X Dual Motor</t>
  </si>
  <si>
    <t>425</t>
  </si>
  <si>
    <t>https://ev-database.org/car/1407/Tesla-Model-X-Dual-Motor</t>
  </si>
  <si>
    <t>Model X Plaid</t>
  </si>
  <si>
    <t>https://ev-database.org/car/1408/Tesla-Model-X-Plaid</t>
  </si>
  <si>
    <t>Model Y Long Range AWD (Juniper)</t>
  </si>
  <si>
    <t>854</t>
  </si>
  <si>
    <t>https://ev-database.org/car/3104/Tesla-Model-Y-Long-Range-AWD</t>
  </si>
  <si>
    <t>Model Y Long Range RWD (Juniper)</t>
  </si>
  <si>
    <t>https://ev-database.org/car/3120/Tesla-Model-Y-Long-Range-RWD</t>
  </si>
  <si>
    <t>Model Y RWD (Juniper)</t>
  </si>
  <si>
    <t>https://ev-database.org/car/3103/Tesla-Model-Y-RWD</t>
  </si>
  <si>
    <t>Toyota</t>
  </si>
  <si>
    <t>PROACE Verso L 75 kWh</t>
  </si>
  <si>
    <t>https://ev-database.org/car/2267/Toyota-PROACE-Verso-L-75-kWh</t>
  </si>
  <si>
    <t>PROACE Verso M 50 kWh</t>
  </si>
  <si>
    <t>https://ev-database.org/car/2264/Toyota-PROACE-Verso-M-50-kWh</t>
  </si>
  <si>
    <t>PROACE Verso M 75 kWh</t>
  </si>
  <si>
    <t>https://ev-database.org/car/2266/Toyota-PROACE-Verso-M-75-kWh</t>
  </si>
  <si>
    <t>Proace City Verso Electric L1 50 kWh</t>
  </si>
  <si>
    <t>https://ev-database.org/car/2165/Toyota-Proace-City-Verso-Electric-L1-50-kWh</t>
  </si>
  <si>
    <t>Proace City Verso Electric L2 50 kWh</t>
  </si>
  <si>
    <t>https://ev-database.org/car/2166/Toyota-Proace-City-Verso-Electric-L2-50-kWh</t>
  </si>
  <si>
    <t>bZ4X AWD</t>
  </si>
  <si>
    <t>452</t>
  </si>
  <si>
    <t>https://ev-database.org/car/1565/Toyota-bZ4X-AWD</t>
  </si>
  <si>
    <t>bZ4X FWD</t>
  </si>
  <si>
    <t>https://ev-database.org/car/1564/Toyota-bZ4X-FWD</t>
  </si>
  <si>
    <t>VinFast</t>
  </si>
  <si>
    <t>VF 8 Eco Extended Range</t>
  </si>
  <si>
    <t>376</t>
  </si>
  <si>
    <t>https://ev-database.org/car/1807/VinFast-VF-8-Eco-Extended-Range</t>
  </si>
  <si>
    <t>VF 8 Plus Extended Range</t>
  </si>
  <si>
    <t>https://ev-database.org/car/1809/VinFast-VF-8-Plus-Extended-Range</t>
  </si>
  <si>
    <t>Volkswagen</t>
  </si>
  <si>
    <t>ID. Buzz LWB GTX</t>
  </si>
  <si>
    <t>1340</t>
  </si>
  <si>
    <t>https://ev-database.org/car/2157/Volkswagen-ID-Buzz-LWB-GTX-</t>
  </si>
  <si>
    <t>ID. Buzz LWB Pro</t>
  </si>
  <si>
    <t>https://ev-database.org/car/2154/Volkswagen-ID-Buzz-LWB-Pro</t>
  </si>
  <si>
    <t>ID. Buzz NWB GTX</t>
  </si>
  <si>
    <t>1121</t>
  </si>
  <si>
    <t>https://ev-database.org/car/2156/Volkswagen-ID-Buzz-NWB-GTX</t>
  </si>
  <si>
    <t>ID. Buzz NWB Pro</t>
  </si>
  <si>
    <t>https://ev-database.org/car/2232/Volkswagen-ID-Buzz-NWB-Pro</t>
  </si>
  <si>
    <t>ID. Buzz NWB Pure</t>
  </si>
  <si>
    <t>https://ev-database.org/car/3119/Volkswagen-ID-Buzz-NWB-Pure</t>
  </si>
  <si>
    <t>ID.3 GTX</t>
  </si>
  <si>
    <t>https://ev-database.org/car/2152/Volkswagen-ID3-GTX</t>
  </si>
  <si>
    <t>ID.3 GTX Performance</t>
  </si>
  <si>
    <t>https://ev-database.org/car/2153/Volkswagen-ID3-GTX-Performance</t>
  </si>
  <si>
    <t>ID.3 Pro</t>
  </si>
  <si>
    <t>https://ev-database.org/car/2213/Volkswagen-ID3-Pro</t>
  </si>
  <si>
    <t>ID.3 Pro S</t>
  </si>
  <si>
    <t>https://ev-database.org/car/2210/Volkswagen-ID3-Pro-S</t>
  </si>
  <si>
    <t>ID.3 Pure</t>
  </si>
  <si>
    <t>https://ev-database.org/car/2214/Volkswagen-ID3-Pure</t>
  </si>
  <si>
    <t>ID.4 GTX</t>
  </si>
  <si>
    <t>543</t>
  </si>
  <si>
    <t>https://ev-database.org/car/2030/Volkswagen-ID4-GTX</t>
  </si>
  <si>
    <t>ID.4 Pro</t>
  </si>
  <si>
    <t>https://ev-database.org/car/2028/Volkswagen-ID4-Pro</t>
  </si>
  <si>
    <t>ID.4 Pro 4MOTION</t>
  </si>
  <si>
    <t>https://ev-database.org/car/2029/Volkswagen-ID4-Pro-4MOTION</t>
  </si>
  <si>
    <t>ID.4 Pure</t>
  </si>
  <si>
    <t>https://ev-database.org/car/2027/Volkswagen-ID4-Pure</t>
  </si>
  <si>
    <t>ID.5 GTX</t>
  </si>
  <si>
    <t>549</t>
  </si>
  <si>
    <t>https://ev-database.org/car/2033/Volkswagen-ID5-GTX</t>
  </si>
  <si>
    <t>ID.5 Pro</t>
  </si>
  <si>
    <t>https://ev-database.org/car/2031/Volkswagen-ID5-Pro</t>
  </si>
  <si>
    <t>ID.5 Pure</t>
  </si>
  <si>
    <t>https://ev-database.org/car/3080/Volkswagen-ID5-Pure</t>
  </si>
  <si>
    <t>ID.7 GTX</t>
  </si>
  <si>
    <t>532</t>
  </si>
  <si>
    <t>https://ev-database.org/car/2216/Volkswagen-ID7-GTX</t>
  </si>
  <si>
    <t>ID.7 Pro</t>
  </si>
  <si>
    <t>https://ev-database.org/car/1839/Volkswagen-ID7-Pro</t>
  </si>
  <si>
    <t>ID.7 Pro S</t>
  </si>
  <si>
    <t>https://ev-database.org/car/1840/Volkswagen-ID7-Pro-S</t>
  </si>
  <si>
    <t>ID.7 Tourer GTX</t>
  </si>
  <si>
    <t>605</t>
  </si>
  <si>
    <t>https://ev-database.org/car/2158/Volkswagen-ID7-Tourer-GTX</t>
  </si>
  <si>
    <t>ID.7 Tourer Pro</t>
  </si>
  <si>
    <t>https://ev-database.org/car/2118/Volkswagen-ID7-Tourer-Pro</t>
  </si>
  <si>
    <t>ID.7 Tourer Pro S</t>
  </si>
  <si>
    <t>https://ev-database.org/car/2119/Volkswagen-ID7-Tourer-Pro-S</t>
  </si>
  <si>
    <t>Volvo</t>
  </si>
  <si>
    <t>EC40 Single Motor (MY26)</t>
  </si>
  <si>
    <t>404</t>
  </si>
  <si>
    <t>https://ev-database.org/car/3154/Volvo-EC40-Single-Motor</t>
  </si>
  <si>
    <t>EC40 Single Motor ER (MY26)</t>
  </si>
  <si>
    <t>https://ev-database.org/car/3155/Volvo-EC40-Single-Motor-ER</t>
  </si>
  <si>
    <t>EC40 Twin Motor (MY26)</t>
  </si>
  <si>
    <t>https://ev-database.org/car/3156/Volvo-EC40-Twin-Motor</t>
  </si>
  <si>
    <t>EC40 Twin Motor Performance (MY26)</t>
  </si>
  <si>
    <t>https://ev-database.org/car/3157/Volvo-EC40-Twin-Motor-Performance</t>
  </si>
  <si>
    <t>ES90 Single Motor (MY26)</t>
  </si>
  <si>
    <t>https://ev-database.org/car/3128/Volvo-ES90-Single-Motor</t>
  </si>
  <si>
    <t>ES90 Twin Motor (MY26)</t>
  </si>
  <si>
    <t>https://ev-database.org/car/3129/Volvo-ES90-Twin-Motor</t>
  </si>
  <si>
    <t>ES90 Twin Motor Performance (MY26)</t>
  </si>
  <si>
    <t>https://ev-database.org/car/3130/Volvo-ES90-Twin-Motor-Performance</t>
  </si>
  <si>
    <t>EX30 Cross Country (MY26)</t>
  </si>
  <si>
    <t>318</t>
  </si>
  <si>
    <t>https://ev-database.org/car/3118/Volvo-EX30-Cross-Country</t>
  </si>
  <si>
    <t>EX30 Single Motor (MY24-26)</t>
  </si>
  <si>
    <t>https://ev-database.org/car/1909/Volvo-EX30-Single-Motor</t>
  </si>
  <si>
    <t>EX30 Single Motor ER (MY24-26)</t>
  </si>
  <si>
    <t>https://ev-database.org/car/1910/Volvo-EX30-Single-Motor-ER</t>
  </si>
  <si>
    <t>EX30 Twin Motor Performance (MY24-26)</t>
  </si>
  <si>
    <t>https://ev-database.org/car/1911/Volvo-EX30-Twin-Motor-Performance</t>
  </si>
  <si>
    <t>EX40 Single Motor (MY26)</t>
  </si>
  <si>
    <t>https://ev-database.org/car/3158/Volvo-EX40-Single-Motor</t>
  </si>
  <si>
    <t>EX40 Single Motor ER (MY26)</t>
  </si>
  <si>
    <t>https://ev-database.org/car/3159/Volvo-EX40-Single-Motor-ER</t>
  </si>
  <si>
    <t>EX40 Twin Motor (MY26)</t>
  </si>
  <si>
    <t>https://ev-database.org/car/3160/Volvo-EX40-Twin-Motor</t>
  </si>
  <si>
    <t>EX40 Twin Motor Performance (MY26)</t>
  </si>
  <si>
    <t>https://ev-database.org/car/3161/Volvo-EX40-Twin-Motor-Performance</t>
  </si>
  <si>
    <t>EX90 Single Motor (MY24-26)</t>
  </si>
  <si>
    <t>https://ev-database.org/car/1950/Volvo-EX90-Single-Motor</t>
  </si>
  <si>
    <t>EX90 Twin Motor (MY24-26)</t>
  </si>
  <si>
    <t>https://ev-database.org/car/1775/Volvo-EX90-Twin-Motor</t>
  </si>
  <si>
    <t>EX90 Twin Motor Performance (MY24-26)</t>
  </si>
  <si>
    <t>https://ev-database.org/car/1776/Volvo-EX90-Twin-Motor-Performance</t>
  </si>
  <si>
    <t>Voyah</t>
  </si>
  <si>
    <t>Free 106 kWh</t>
  </si>
  <si>
    <t>https://ev-database.org/car/2049/Voyah-Free-106-kWh</t>
  </si>
  <si>
    <t>XPENG</t>
  </si>
  <si>
    <t>G6 AWD Performance</t>
  </si>
  <si>
    <t>571</t>
  </si>
  <si>
    <t>https://ev-database.org/car/2183/XPENG-G6-AWD-Performance</t>
  </si>
  <si>
    <t>G6 RWD Long Range</t>
  </si>
  <si>
    <t>https://ev-database.org/car/2182/XPENG-G6-RWD-Long-Range</t>
  </si>
  <si>
    <t>G6 RWD Standard Range</t>
  </si>
  <si>
    <t>https://ev-database.org/car/2181/XPENG-G6-RWD-Standard-Range</t>
  </si>
  <si>
    <t>G9 AWD Performance</t>
  </si>
  <si>
    <t>660</t>
  </si>
  <si>
    <t>https://ev-database.org/car/1826/XPENG-G9-AWD-Performance</t>
  </si>
  <si>
    <t>G9 RWD Long Range</t>
  </si>
  <si>
    <t>https://ev-database.org/car/1825/XPENG-G9-RWD-Long-Range</t>
  </si>
  <si>
    <t>G9 RWD Standard Range</t>
  </si>
  <si>
    <t>https://ev-database.org/car/1824/XPENG-G9-RWD-Standard-Range</t>
  </si>
  <si>
    <t>P7 AWD Performance</t>
  </si>
  <si>
    <t>https://ev-database.org/car/1822/XPENG-P7-AWD-Performance</t>
  </si>
  <si>
    <t>P7 RWD Long Range</t>
  </si>
  <si>
    <t>https://ev-database.org/car/1821/XPENG-P7-RWD-Long-Range</t>
  </si>
  <si>
    <t>P7 Wing Edition</t>
  </si>
  <si>
    <t>https://ev-database.org/car/1823/XPENG-P7-Wing-Edition</t>
  </si>
  <si>
    <t>Zeekr</t>
  </si>
  <si>
    <t>001 Long Range RWD</t>
  </si>
  <si>
    <t>539</t>
  </si>
  <si>
    <t>https://ev-database.org/car/1933/Zeekr-001-Long-Range-RWD</t>
  </si>
  <si>
    <t>001 Performance AWD</t>
  </si>
  <si>
    <t>https://ev-database.org/car/1934/Zeekr-001-Performance-AWD</t>
  </si>
  <si>
    <t>001 Privilege AWD</t>
  </si>
  <si>
    <t>https://ev-database.org/car/1935/Zeekr-001-Privilege-AWD</t>
  </si>
  <si>
    <t>7X Long Range RWD</t>
  </si>
  <si>
    <t>https://ev-database.org/car/3082/Zeekr-7X-Long-Range-RWD</t>
  </si>
  <si>
    <t>7X Performance AWD</t>
  </si>
  <si>
    <t>https://ev-database.org/car/3083/Zeekr-7X-Performance-AWD</t>
  </si>
  <si>
    <t>7X Premium RWD</t>
  </si>
  <si>
    <t>https://ev-database.org/car/3081/Zeekr-7X-Premium-RWD</t>
  </si>
  <si>
    <t>X Core RWD (MY25)</t>
  </si>
  <si>
    <t>362</t>
  </si>
  <si>
    <t>https://ev-database.org/car/3197/Zeekr-X-Core-RWD</t>
  </si>
  <si>
    <t>X Long Range RWD (MY25)</t>
  </si>
  <si>
    <t>https://ev-database.org/car/3198/Zeekr-X-Long-Range-RWD</t>
  </si>
  <si>
    <t>X Privilege AWD (MY25)</t>
  </si>
  <si>
    <t>https://ev-database.org/car/3199/Zeekr-X-Privilege-AWD</t>
  </si>
  <si>
    <t>firefly</t>
  </si>
  <si>
    <t>https://ev-database.org/car/3178/firefly-firefly</t>
  </si>
  <si>
    <t>Grand Total</t>
  </si>
  <si>
    <t>Model_name</t>
  </si>
  <si>
    <t>Brand_name</t>
  </si>
  <si>
    <t>Count of model</t>
  </si>
  <si>
    <t>Min of battery_capacity_kWh</t>
  </si>
  <si>
    <t>Sum of fast charging (KW)</t>
  </si>
  <si>
    <t>Avg of fast charging (KW)</t>
  </si>
  <si>
    <t>Avg of range (km)</t>
  </si>
  <si>
    <r>
      <t xml:space="preserve">  </t>
    </r>
    <r>
      <rPr>
        <b/>
        <i/>
        <sz val="16"/>
        <color theme="1"/>
        <rFont val="Calibri"/>
        <family val="2"/>
        <scheme val="minor"/>
      </rPr>
      <t>Avg (km) in Min battery by Models</t>
    </r>
  </si>
  <si>
    <t xml:space="preserve">Sum of Motor Power (Nm) </t>
  </si>
  <si>
    <t>Motor Power &amp; Acceleration by Models</t>
  </si>
  <si>
    <t>Avg of efficiency (per_km)</t>
  </si>
  <si>
    <t>Avg of km &amp; efficiency by Brands</t>
  </si>
  <si>
    <t>Count of body_type by Brands</t>
  </si>
  <si>
    <t>Quantities of Body type  by Brands</t>
  </si>
  <si>
    <t>Avg of efficiency wh (per_km)</t>
  </si>
  <si>
    <t>Avg of Efficiency (per_km) by Brands</t>
  </si>
  <si>
    <t>Avg of battery capacity (kWh)</t>
  </si>
  <si>
    <t>Avg Fast charging (KW) &amp; Battery Capacity (kWh)</t>
  </si>
  <si>
    <t xml:space="preserve">Avg of acceleration </t>
  </si>
  <si>
    <r>
      <rPr>
        <b/>
        <i/>
        <sz val="16"/>
        <color theme="1"/>
        <rFont val="Calibri"/>
        <family val="2"/>
        <charset val="204"/>
        <scheme val="minor"/>
      </rPr>
      <t>Sum and Avg of Fast Charging by Brands</t>
    </r>
    <r>
      <rPr>
        <b/>
        <i/>
        <sz val="14"/>
        <color theme="1"/>
        <rFont val="Calibri"/>
        <family val="2"/>
        <charset val="204"/>
        <scheme val="minor"/>
      </rPr>
      <t xml:space="preserve"> </t>
    </r>
  </si>
  <si>
    <t>battery_capacity_group</t>
  </si>
  <si>
    <t xml:space="preserve"> </t>
  </si>
  <si>
    <t>Efficiency Category</t>
  </si>
  <si>
    <t>range_km_category</t>
  </si>
  <si>
    <t>top_speed_group</t>
  </si>
  <si>
    <t>fast_charging_group</t>
  </si>
  <si>
    <t>acceleration_group</t>
  </si>
  <si>
    <t xml:space="preserve">Quantities of Model name </t>
  </si>
  <si>
    <t xml:space="preserve">               Motor Power &amp; Acceleration by Models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</si>
</sst>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i/>
      <sz val="14"/>
      <color theme="1"/>
      <name val="Calibri"/>
      <family val="2"/>
      <charset val="204"/>
      <scheme val="minor"/>
    </font>
    <font>
      <sz val="16"/>
      <color theme="1"/>
      <name val="Calibri"/>
      <family val="2"/>
      <scheme val="minor"/>
    </font>
    <font>
      <b/>
      <i/>
      <sz val="16"/>
      <color theme="1"/>
      <name val="Calibri"/>
      <family val="2"/>
      <scheme val="minor"/>
    </font>
    <font>
      <b/>
      <i/>
      <sz val="16"/>
      <color theme="1"/>
      <name val="Calibri"/>
      <family val="2"/>
      <charset val="204"/>
      <scheme val="minor"/>
    </font>
    <font>
      <b/>
      <i/>
      <sz val="18"/>
      <color theme="1"/>
      <name val="Calibri"/>
      <family val="2"/>
      <charset val="204"/>
      <scheme val="minor"/>
    </font>
    <font>
      <sz val="11"/>
      <name val="Calibri"/>
      <family val="2"/>
      <scheme val="minor"/>
    </font>
    <font>
      <b/>
      <i/>
      <sz val="15"/>
      <color theme="1"/>
      <name val="Calibri"/>
      <family val="2"/>
      <charset val="204"/>
      <scheme val="minor"/>
    </font>
    <font>
      <sz val="8"/>
      <name val="Calibri"/>
      <family val="2"/>
      <scheme val="minor"/>
    </font>
    <font>
      <sz val="11"/>
      <color rgb="FF002060"/>
      <name val="Calibri"/>
      <family val="2"/>
      <scheme val="minor"/>
    </font>
    <font>
      <sz val="28"/>
      <name val="Calibri"/>
      <family val="2"/>
      <scheme val="minor"/>
    </font>
    <font>
      <b/>
      <sz val="38"/>
      <color rgb="FF002060"/>
      <name val="Microsoft New Tai Lue"/>
      <family val="2"/>
    </font>
    <font>
      <sz val="38"/>
      <name val="Calibri"/>
      <family val="2"/>
      <scheme val="minor"/>
    </font>
    <font>
      <sz val="38"/>
      <color rgb="FF002060"/>
      <name val="Microsoft New Tai Lue"/>
      <family val="2"/>
    </font>
    <font>
      <sz val="38"/>
      <color rgb="FF002060"/>
      <name val="Calibri"/>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rgb="FFE7E5FF"/>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9">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 fillId="0" borderId="0" xfId="0" applyFont="1"/>
    <xf numFmtId="0" fontId="2" fillId="0" borderId="0" xfId="0" applyFont="1"/>
    <xf numFmtId="0" fontId="4" fillId="0" borderId="0" xfId="0" applyFont="1"/>
    <xf numFmtId="0" fontId="5" fillId="0" borderId="0" xfId="0" applyFont="1"/>
    <xf numFmtId="0" fontId="7" fillId="0" borderId="0" xfId="0" applyFont="1"/>
    <xf numFmtId="0" fontId="9" fillId="0" borderId="0" xfId="0" applyFont="1" applyAlignment="1">
      <alignment horizontal="left" indent="1"/>
    </xf>
    <xf numFmtId="1" fontId="9" fillId="0" borderId="0" xfId="0" applyNumberFormat="1" applyFont="1"/>
    <xf numFmtId="0" fontId="6" fillId="2" borderId="0" xfId="0" applyFont="1" applyFill="1"/>
    <xf numFmtId="0" fontId="6" fillId="2" borderId="0" xfId="0" applyFont="1" applyFill="1" applyAlignment="1">
      <alignment horizontal="center"/>
    </xf>
    <xf numFmtId="0" fontId="0" fillId="0" borderId="0" xfId="0" applyAlignment="1">
      <alignment horizontal="left" indent="1"/>
    </xf>
    <xf numFmtId="1" fontId="0" fillId="0" borderId="0" xfId="0" applyNumberFormat="1" applyAlignment="1">
      <alignment horizontal="center"/>
    </xf>
    <xf numFmtId="0" fontId="0" fillId="0" borderId="0" xfId="0" applyAlignment="1">
      <alignment horizontal="center"/>
    </xf>
    <xf numFmtId="1" fontId="0" fillId="3" borderId="0" xfId="0" applyNumberFormat="1" applyFill="1"/>
    <xf numFmtId="0" fontId="10" fillId="2" borderId="0" xfId="0" applyFont="1" applyFill="1"/>
    <xf numFmtId="0" fontId="11" fillId="2" borderId="0" xfId="0" applyFont="1" applyFill="1"/>
    <xf numFmtId="0" fontId="12" fillId="2" borderId="0" xfId="0" applyFont="1" applyFill="1"/>
    <xf numFmtId="0" fontId="13" fillId="2" borderId="0" xfId="0" applyFont="1" applyFill="1"/>
    <xf numFmtId="0" fontId="14" fillId="2" borderId="0" xfId="0" applyFont="1" applyFill="1"/>
    <xf numFmtId="0" fontId="0" fillId="4" borderId="0" xfId="0" applyFill="1"/>
    <xf numFmtId="0" fontId="11" fillId="4" borderId="0" xfId="0" applyFont="1" applyFill="1"/>
    <xf numFmtId="0" fontId="12" fillId="4" borderId="0" xfId="0" applyFont="1" applyFill="1"/>
    <xf numFmtId="0" fontId="13" fillId="4" borderId="0" xfId="0" applyFont="1" applyFill="1"/>
    <xf numFmtId="0" fontId="14" fillId="4" borderId="0" xfId="0" applyFont="1" applyFill="1"/>
    <xf numFmtId="0" fontId="6" fillId="4" borderId="0" xfId="0" applyFont="1" applyFill="1"/>
  </cellXfs>
  <cellStyles count="1">
    <cellStyle name="Normal" xfId="0" builtinId="0"/>
  </cellStyles>
  <dxfs count="85">
    <dxf>
      <numFmt numFmtId="1" formatCode="0"/>
    </dxf>
    <dxf>
      <numFmt numFmtId="2" formatCode="0.00"/>
    </dxf>
    <dxf>
      <numFmt numFmtId="1" formatCode="0"/>
    </dxf>
    <dxf>
      <font>
        <color rgb="FF002060"/>
      </font>
    </dxf>
    <dxf>
      <font>
        <color rgb="FF002060"/>
      </font>
    </dxf>
    <dxf>
      <font>
        <color rgb="FF002060"/>
      </font>
    </dxf>
    <dxf>
      <font>
        <color rgb="FF002060"/>
      </font>
    </dxf>
    <dxf>
      <font>
        <color rgb="FF002060"/>
      </font>
    </dxf>
    <dxf>
      <font>
        <color rgb="FF002060"/>
      </font>
    </dxf>
    <dxf>
      <numFmt numFmtId="1" formatCode="0"/>
    </dxf>
    <dxf>
      <numFmt numFmtId="1" formatCode="0"/>
    </dxf>
    <dxf>
      <alignment horizontal="center"/>
    </dxf>
    <dxf>
      <numFmt numFmtId="1" formatCode="0"/>
    </dxf>
    <dxf>
      <fill>
        <patternFill patternType="solid">
          <bgColor theme="0"/>
        </patternFill>
      </fill>
    </dxf>
    <dxf>
      <fill>
        <patternFill>
          <bgColor rgb="FFE7E5FF"/>
        </patternFill>
      </fill>
    </dxf>
    <dxf>
      <fill>
        <patternFill patternType="solid">
          <bgColor rgb="FFE7E5FF"/>
        </patternFill>
      </fill>
    </dxf>
    <dxf>
      <numFmt numFmtId="1" formatCode="0"/>
    </dxf>
    <dxf>
      <numFmt numFmtId="1" formatCode="0"/>
    </dxf>
    <dxf>
      <numFmt numFmtId="1" formatCode="0"/>
    </dxf>
    <dxf>
      <numFmt numFmtId="2" formatCode="0.00"/>
    </dxf>
    <dxf>
      <numFmt numFmtId="1" formatCode="0"/>
    </dxf>
    <dxf>
      <font>
        <color rgb="FF002060"/>
      </font>
    </dxf>
    <dxf>
      <font>
        <color rgb="FF002060"/>
      </font>
    </dxf>
    <dxf>
      <font>
        <color rgb="FF002060"/>
      </font>
    </dxf>
    <dxf>
      <font>
        <color rgb="FF002060"/>
      </font>
    </dxf>
    <dxf>
      <font>
        <color rgb="FF002060"/>
      </font>
    </dxf>
    <dxf>
      <font>
        <color rgb="FF002060"/>
      </font>
    </dxf>
    <dxf>
      <numFmt numFmtId="1" formatCode="0"/>
    </dxf>
    <dxf>
      <numFmt numFmtId="1" formatCode="0"/>
    </dxf>
    <dxf>
      <alignment horizontal="center"/>
    </dxf>
    <dxf>
      <numFmt numFmtId="1" formatCode="0"/>
    </dxf>
    <dxf>
      <fill>
        <patternFill patternType="solid">
          <bgColor theme="0"/>
        </patternFill>
      </fill>
    </dxf>
    <dxf>
      <fill>
        <patternFill>
          <bgColor rgb="FFE7E5FF"/>
        </patternFill>
      </fill>
    </dxf>
    <dxf>
      <fill>
        <patternFill patternType="solid">
          <bgColor rgb="FFE7E5FF"/>
        </patternFill>
      </fill>
    </dxf>
    <dxf>
      <numFmt numFmtId="1" formatCode="0"/>
    </dxf>
    <dxf>
      <numFmt numFmtId="1" formatCode="0"/>
    </dxf>
    <dxf>
      <numFmt numFmtId="1" formatCode="0"/>
    </dxf>
    <dxf>
      <numFmt numFmtId="1" formatCode="0"/>
    </dxf>
    <dxf>
      <numFmt numFmtId="2" formatCode="0.00"/>
    </dxf>
    <dxf>
      <alignment horizontal="center"/>
    </dxf>
    <dxf>
      <numFmt numFmtId="1" formatCode="0"/>
    </dxf>
    <dxf>
      <numFmt numFmtId="1" formatCode="0"/>
    </dxf>
    <dxf>
      <numFmt numFmtId="1" formatCode="0"/>
    </dxf>
    <dxf>
      <fill>
        <patternFill patternType="solid">
          <bgColor rgb="FFE7E5FF"/>
        </patternFill>
      </fill>
    </dxf>
    <dxf>
      <fill>
        <patternFill>
          <bgColor rgb="FFE7E5FF"/>
        </patternFill>
      </fill>
    </dxf>
    <dxf>
      <fill>
        <patternFill patternType="solid">
          <bgColor theme="0"/>
        </patternFill>
      </fill>
    </dxf>
    <dxf>
      <numFmt numFmtId="1" formatCode="0"/>
    </dxf>
    <dxf>
      <font>
        <color rgb="FF002060"/>
      </font>
    </dxf>
    <dxf>
      <font>
        <color rgb="FF002060"/>
      </font>
    </dxf>
    <dxf>
      <font>
        <color rgb="FF002060"/>
      </font>
    </dxf>
    <dxf>
      <font>
        <color rgb="FF002060"/>
      </font>
    </dxf>
    <dxf>
      <font>
        <color rgb="FF002060"/>
      </font>
    </dxf>
    <dxf>
      <font>
        <color rgb="FF002060"/>
      </font>
    </dxf>
    <dxf>
      <numFmt numFmtId="1" formatCode="0"/>
    </dxf>
    <dxf>
      <font>
        <color rgb="FF006100"/>
      </font>
      <fill>
        <patternFill>
          <bgColor rgb="FFC6EFCE"/>
        </patternFill>
      </fill>
    </dxf>
    <dxf>
      <font>
        <color rgb="FF9C0006"/>
      </font>
      <fill>
        <patternFill>
          <bgColor rgb="FFFFC7CE"/>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BEBA62"/>
      <color rgb="FFE7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[Dashboard_EV.xlsx]Electric Vehicle Insights!PivotTable 4</c:name>
    <c:fmtId val="29"/>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aseline="0"/>
              <a:t>Body type by Brands</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829186253050875E-2"/>
          <c:y val="8.6608916393571933E-2"/>
          <c:w val="0.89106766991516628"/>
          <c:h val="0.5166007791525109"/>
        </c:manualLayout>
      </c:layout>
      <c:barChart>
        <c:barDir val="col"/>
        <c:grouping val="clustered"/>
        <c:varyColors val="0"/>
        <c:ser>
          <c:idx val="0"/>
          <c:order val="0"/>
          <c:tx>
            <c:strRef>
              <c:f>'Electric Vehicle Insights'!$O$2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'Electric Vehicle Insights'!$N$3:$N$45</c:f>
              <c:multiLvlStrCache>
                <c:ptCount val="32"/>
                <c:lvl>
                  <c:pt idx="0">
                    <c:v>Sedan</c:v>
                  </c:pt>
                  <c:pt idx="1">
                    <c:v>Small Passenger Van</c:v>
                  </c:pt>
                  <c:pt idx="2">
                    <c:v>SUV</c:v>
                  </c:pt>
                  <c:pt idx="3">
                    <c:v>Liftback Sedan</c:v>
                  </c:pt>
                  <c:pt idx="4">
                    <c:v>Sedan</c:v>
                  </c:pt>
                  <c:pt idx="5">
                    <c:v>Station/Estate</c:v>
                  </c:pt>
                  <c:pt idx="6">
                    <c:v>SUV</c:v>
                  </c:pt>
                  <c:pt idx="7">
                    <c:v>Sedan</c:v>
                  </c:pt>
                  <c:pt idx="8">
                    <c:v>Station/Estate</c:v>
                  </c:pt>
                  <c:pt idx="9">
                    <c:v>SUV</c:v>
                  </c:pt>
                  <c:pt idx="10">
                    <c:v>Hatchback</c:v>
                  </c:pt>
                  <c:pt idx="11">
                    <c:v>Liftback Sedan</c:v>
                  </c:pt>
                  <c:pt idx="12">
                    <c:v>Small Passenger Van</c:v>
                  </c:pt>
                  <c:pt idx="13">
                    <c:v>Station/Estate</c:v>
                  </c:pt>
                  <c:pt idx="14">
                    <c:v>SUV</c:v>
                  </c:pt>
                  <c:pt idx="15">
                    <c:v>Liftback Sedan</c:v>
                  </c:pt>
                  <c:pt idx="16">
                    <c:v>Small Passenger Van</c:v>
                  </c:pt>
                  <c:pt idx="17">
                    <c:v>SUV</c:v>
                  </c:pt>
                  <c:pt idx="18">
                    <c:v>Liftback Sedan</c:v>
                  </c:pt>
                  <c:pt idx="19">
                    <c:v>Sedan</c:v>
                  </c:pt>
                  <c:pt idx="20">
                    <c:v>Station/Estate</c:v>
                  </c:pt>
                  <c:pt idx="21">
                    <c:v>SUV</c:v>
                  </c:pt>
                  <c:pt idx="22">
                    <c:v>Hatchback</c:v>
                  </c:pt>
                  <c:pt idx="23">
                    <c:v>Small Passenger Van</c:v>
                  </c:pt>
                  <c:pt idx="24">
                    <c:v>Station/Estate</c:v>
                  </c:pt>
                  <c:pt idx="25">
                    <c:v>SUV</c:v>
                  </c:pt>
                  <c:pt idx="26">
                    <c:v>Liftback Sedan</c:v>
                  </c:pt>
                  <c:pt idx="27">
                    <c:v>SUV</c:v>
                  </c:pt>
                  <c:pt idx="28">
                    <c:v>SUV</c:v>
                  </c:pt>
                  <c:pt idx="29">
                    <c:v>Hatchback</c:v>
                  </c:pt>
                  <c:pt idx="30">
                    <c:v>Sedan</c:v>
                  </c:pt>
                  <c:pt idx="31">
                    <c:v>SUV</c:v>
                  </c:pt>
                </c:lvl>
                <c:lvl>
                  <c:pt idx="0">
                    <c:v>Mercedes-Benz</c:v>
                  </c:pt>
                  <c:pt idx="3">
                    <c:v>Audi</c:v>
                  </c:pt>
                  <c:pt idx="7">
                    <c:v>Porsche</c:v>
                  </c:pt>
                  <c:pt idx="10">
                    <c:v>Volkswagen</c:v>
                  </c:pt>
                  <c:pt idx="15">
                    <c:v>Ford</c:v>
                  </c:pt>
                  <c:pt idx="18">
                    <c:v>BMW</c:v>
                  </c:pt>
                  <c:pt idx="22">
                    <c:v>Peugeot</c:v>
                  </c:pt>
                  <c:pt idx="26">
                    <c:v>Volvo</c:v>
                  </c:pt>
                  <c:pt idx="28">
                    <c:v>Smart</c:v>
                  </c:pt>
                  <c:pt idx="29">
                    <c:v>BYD</c:v>
                  </c:pt>
                </c:lvl>
              </c:multiLvlStrCache>
            </c:multiLvlStrRef>
          </c:cat>
          <c:val>
            <c:numRef>
              <c:f>'Electric Vehicle Insights'!$O$3:$O$45</c:f>
              <c:numCache>
                <c:formatCode>0</c:formatCode>
                <c:ptCount val="32"/>
                <c:pt idx="0">
                  <c:v>14</c:v>
                </c:pt>
                <c:pt idx="1">
                  <c:v>9</c:v>
                </c:pt>
                <c:pt idx="2">
                  <c:v>19</c:v>
                </c:pt>
                <c:pt idx="3">
                  <c:v>4</c:v>
                </c:pt>
                <c:pt idx="4">
                  <c:v>4</c:v>
                </c:pt>
                <c:pt idx="5">
                  <c:v>4</c:v>
                </c:pt>
                <c:pt idx="6">
                  <c:v>16</c:v>
                </c:pt>
                <c:pt idx="7">
                  <c:v>11</c:v>
                </c:pt>
                <c:pt idx="8">
                  <c:v>11</c:v>
                </c:pt>
                <c:pt idx="9">
                  <c:v>4</c:v>
                </c:pt>
                <c:pt idx="10">
                  <c:v>5</c:v>
                </c:pt>
                <c:pt idx="11">
                  <c:v>3</c:v>
                </c:pt>
                <c:pt idx="12">
                  <c:v>5</c:v>
                </c:pt>
                <c:pt idx="13">
                  <c:v>3</c:v>
                </c:pt>
                <c:pt idx="14">
                  <c:v>7</c:v>
                </c:pt>
                <c:pt idx="15">
                  <c:v>3</c:v>
                </c:pt>
                <c:pt idx="16">
                  <c:v>5</c:v>
                </c:pt>
                <c:pt idx="17">
                  <c:v>14</c:v>
                </c:pt>
                <c:pt idx="18">
                  <c:v>4</c:v>
                </c:pt>
                <c:pt idx="19">
                  <c:v>6</c:v>
                </c:pt>
                <c:pt idx="20">
                  <c:v>3</c:v>
                </c:pt>
                <c:pt idx="21">
                  <c:v>7</c:v>
                </c:pt>
                <c:pt idx="22">
                  <c:v>3</c:v>
                </c:pt>
                <c:pt idx="23">
                  <c:v>6</c:v>
                </c:pt>
                <c:pt idx="24">
                  <c:v>1</c:v>
                </c:pt>
                <c:pt idx="25">
                  <c:v>9</c:v>
                </c:pt>
                <c:pt idx="26">
                  <c:v>3</c:v>
                </c:pt>
                <c:pt idx="27">
                  <c:v>15</c:v>
                </c:pt>
                <c:pt idx="28">
                  <c:v>17</c:v>
                </c:pt>
                <c:pt idx="29">
                  <c:v>6</c:v>
                </c:pt>
                <c:pt idx="30">
                  <c:v>3</c:v>
                </c:pt>
                <c:pt idx="31">
                  <c:v>8</c:v>
                </c:pt>
              </c:numCache>
            </c:numRef>
          </c:val>
          <c:extLst>
            <c:ext xmlns:c16="http://schemas.microsoft.com/office/drawing/2014/chart" uri="{C3380CC4-5D6E-409C-BE32-E72D297353CC}">
              <c16:uniqueId val="{00000000-70B7-4EC3-A09F-CF6BA09ED069}"/>
            </c:ext>
          </c:extLst>
        </c:ser>
        <c:dLbls>
          <c:dLblPos val="inEnd"/>
          <c:showLegendKey val="0"/>
          <c:showVal val="1"/>
          <c:showCatName val="0"/>
          <c:showSerName val="0"/>
          <c:showPercent val="0"/>
          <c:showBubbleSize val="0"/>
        </c:dLbls>
        <c:gapWidth val="100"/>
        <c:overlap val="-24"/>
        <c:axId val="1609559280"/>
        <c:axId val="1609549680"/>
      </c:barChart>
      <c:catAx>
        <c:axId val="1609559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3660000" spcFirstLastPara="1" vertOverflow="ellipsis" wrap="square" anchor="ctr" anchorCtr="1"/>
          <a:lstStyle/>
          <a:p>
            <a:pPr>
              <a:defRPr sz="1300" b="1" i="0" u="none" strike="noStrike" kern="1200" baseline="0">
                <a:solidFill>
                  <a:schemeClr val="lt1">
                    <a:lumMod val="85000"/>
                  </a:schemeClr>
                </a:solidFill>
                <a:latin typeface="+mn-lt"/>
                <a:ea typeface="+mn-ea"/>
                <a:cs typeface="+mn-cs"/>
              </a:defRPr>
            </a:pPr>
            <a:endParaRPr lang="ru-RU"/>
          </a:p>
        </c:txPr>
        <c:crossAx val="1609549680"/>
        <c:crosses val="autoZero"/>
        <c:auto val="1"/>
        <c:lblAlgn val="ctr"/>
        <c:lblOffset val="100"/>
        <c:noMultiLvlLbl val="0"/>
      </c:catAx>
      <c:valAx>
        <c:axId val="160954968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60955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[Dashboard_EV.xlsx]Electric Vehicle Insights!PivotTable 3</c:name>
    <c:fmtId val="21"/>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aseline="0"/>
              <a:t>Top 10 EV Brands - Range vs Efficiency </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493847333002048E-2"/>
          <c:y val="3.3876809178020571E-2"/>
          <c:w val="0.75534094450387013"/>
          <c:h val="0.79387986463826143"/>
        </c:manualLayout>
      </c:layout>
      <c:barChart>
        <c:barDir val="col"/>
        <c:grouping val="clustered"/>
        <c:varyColors val="0"/>
        <c:ser>
          <c:idx val="0"/>
          <c:order val="0"/>
          <c:tx>
            <c:strRef>
              <c:f>'Electric Vehicle Insights'!$K$2</c:f>
              <c:strCache>
                <c:ptCount val="1"/>
                <c:pt idx="0">
                  <c:v>Avg of range (km)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'Electric Vehicle Insights'!$J$3:$J$13</c:f>
              <c:strCache>
                <c:ptCount val="10"/>
                <c:pt idx="0">
                  <c:v>Voyah</c:v>
                </c:pt>
                <c:pt idx="1">
                  <c:v>Tesla</c:v>
                </c:pt>
                <c:pt idx="2">
                  <c:v>Rolls-Royce</c:v>
                </c:pt>
                <c:pt idx="3">
                  <c:v>Porsche</c:v>
                </c:pt>
                <c:pt idx="4">
                  <c:v>Polestar</c:v>
                </c:pt>
                <c:pt idx="5">
                  <c:v>Lucid</c:v>
                </c:pt>
                <c:pt idx="6">
                  <c:v>Lotus</c:v>
                </c:pt>
                <c:pt idx="7">
                  <c:v>Cadillac</c:v>
                </c:pt>
                <c:pt idx="8">
                  <c:v>BMW</c:v>
                </c:pt>
                <c:pt idx="9">
                  <c:v>Audi</c:v>
                </c:pt>
              </c:strCache>
            </c:strRef>
          </c:cat>
          <c:val>
            <c:numRef>
              <c:f>'Electric Vehicle Insights'!$K$3:$K$13</c:f>
              <c:numCache>
                <c:formatCode>0</c:formatCode>
                <c:ptCount val="10"/>
                <c:pt idx="0">
                  <c:v>480</c:v>
                </c:pt>
                <c:pt idx="1">
                  <c:v>490</c:v>
                </c:pt>
                <c:pt idx="2">
                  <c:v>465</c:v>
                </c:pt>
                <c:pt idx="3">
                  <c:v>502.88461538461536</c:v>
                </c:pt>
                <c:pt idx="4">
                  <c:v>478.33333333333331</c:v>
                </c:pt>
                <c:pt idx="5">
                  <c:v>603.33333333333337</c:v>
                </c:pt>
                <c:pt idx="6">
                  <c:v>489.16666666666669</c:v>
                </c:pt>
                <c:pt idx="7">
                  <c:v>460</c:v>
                </c:pt>
                <c:pt idx="8">
                  <c:v>458.25</c:v>
                </c:pt>
                <c:pt idx="9">
                  <c:v>478.39285714285717</c:v>
                </c:pt>
              </c:numCache>
            </c:numRef>
          </c:val>
          <c:extLst>
            <c:ext xmlns:c16="http://schemas.microsoft.com/office/drawing/2014/chart" uri="{C3380CC4-5D6E-409C-BE32-E72D297353CC}">
              <c16:uniqueId val="{00000000-3F86-4E4F-A9EC-5E203AEB892B}"/>
            </c:ext>
          </c:extLst>
        </c:ser>
        <c:ser>
          <c:idx val="1"/>
          <c:order val="1"/>
          <c:tx>
            <c:strRef>
              <c:f>'Electric Vehicle Insights'!$L$2</c:f>
              <c:strCache>
                <c:ptCount val="1"/>
                <c:pt idx="0">
                  <c:v>Avg of efficiency (per_km)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'Electric Vehicle Insights'!$J$3:$J$13</c:f>
              <c:strCache>
                <c:ptCount val="10"/>
                <c:pt idx="0">
                  <c:v>Voyah</c:v>
                </c:pt>
                <c:pt idx="1">
                  <c:v>Tesla</c:v>
                </c:pt>
                <c:pt idx="2">
                  <c:v>Rolls-Royce</c:v>
                </c:pt>
                <c:pt idx="3">
                  <c:v>Porsche</c:v>
                </c:pt>
                <c:pt idx="4">
                  <c:v>Polestar</c:v>
                </c:pt>
                <c:pt idx="5">
                  <c:v>Lucid</c:v>
                </c:pt>
                <c:pt idx="6">
                  <c:v>Lotus</c:v>
                </c:pt>
                <c:pt idx="7">
                  <c:v>Cadillac</c:v>
                </c:pt>
                <c:pt idx="8">
                  <c:v>BMW</c:v>
                </c:pt>
                <c:pt idx="9">
                  <c:v>Audi</c:v>
                </c:pt>
              </c:strCache>
            </c:strRef>
          </c:cat>
          <c:val>
            <c:numRef>
              <c:f>'Electric Vehicle Insights'!$L$3:$L$13</c:f>
              <c:numCache>
                <c:formatCode>0</c:formatCode>
                <c:ptCount val="10"/>
                <c:pt idx="0">
                  <c:v>200</c:v>
                </c:pt>
                <c:pt idx="1">
                  <c:v>138.27272727272728</c:v>
                </c:pt>
                <c:pt idx="2">
                  <c:v>192</c:v>
                </c:pt>
                <c:pt idx="3">
                  <c:v>179.61538461538461</c:v>
                </c:pt>
                <c:pt idx="4">
                  <c:v>156.44444444444446</c:v>
                </c:pt>
                <c:pt idx="5">
                  <c:v>138.33333333333334</c:v>
                </c:pt>
                <c:pt idx="6">
                  <c:v>219.16666666666666</c:v>
                </c:pt>
                <c:pt idx="7">
                  <c:v>192</c:v>
                </c:pt>
                <c:pt idx="8">
                  <c:v>175.2</c:v>
                </c:pt>
                <c:pt idx="9">
                  <c:v>160.25</c:v>
                </c:pt>
              </c:numCache>
            </c:numRef>
          </c:val>
          <c:extLst>
            <c:ext xmlns:c16="http://schemas.microsoft.com/office/drawing/2014/chart" uri="{C3380CC4-5D6E-409C-BE32-E72D297353CC}">
              <c16:uniqueId val="{00000001-3F86-4E4F-A9EC-5E203AEB892B}"/>
            </c:ext>
          </c:extLst>
        </c:ser>
        <c:dLbls>
          <c:showLegendKey val="0"/>
          <c:showVal val="0"/>
          <c:showCatName val="0"/>
          <c:showSerName val="0"/>
          <c:showPercent val="0"/>
          <c:showBubbleSize val="0"/>
        </c:dLbls>
        <c:gapWidth val="100"/>
        <c:overlap val="-24"/>
        <c:axId val="1609319280"/>
        <c:axId val="1609334160"/>
      </c:barChart>
      <c:catAx>
        <c:axId val="1609319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500" b="1" i="0" u="none" strike="noStrike" kern="1200" baseline="0">
                <a:solidFill>
                  <a:schemeClr val="lt1">
                    <a:lumMod val="85000"/>
                  </a:schemeClr>
                </a:solidFill>
                <a:latin typeface="+mn-lt"/>
                <a:ea typeface="+mn-ea"/>
                <a:cs typeface="+mn-cs"/>
              </a:defRPr>
            </a:pPr>
            <a:endParaRPr lang="ru-RU"/>
          </a:p>
        </c:txPr>
        <c:crossAx val="1609334160"/>
        <c:crosses val="autoZero"/>
        <c:auto val="1"/>
        <c:lblAlgn val="ctr"/>
        <c:lblOffset val="100"/>
        <c:noMultiLvlLbl val="0"/>
      </c:catAx>
      <c:valAx>
        <c:axId val="1609334160"/>
        <c:scaling>
          <c:orientation val="minMax"/>
        </c:scaling>
        <c:delete val="0"/>
        <c:axPos val="l"/>
        <c:majorGridlines>
          <c:spPr>
            <a:ln w="6350"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crossAx val="1609319280"/>
        <c:crosses val="autoZero"/>
        <c:crossBetween val="between"/>
      </c:valAx>
      <c:spPr>
        <a:noFill/>
        <a:ln>
          <a:noFill/>
        </a:ln>
        <a:effectLst/>
      </c:spPr>
    </c:plotArea>
    <c:legend>
      <c:legendPos val="r"/>
      <c:layout>
        <c:manualLayout>
          <c:xMode val="edge"/>
          <c:yMode val="edge"/>
          <c:x val="0.79978184379984407"/>
          <c:y val="0.3771960817359864"/>
          <c:w val="0.19830802293964689"/>
          <c:h val="0.25176701388173184"/>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b="1" i="0" baseline="0"/>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[Dashboard_EV.xlsx]Electric Vehicle Insights!PivotTable 6</c:name>
    <c:fmtId val="29"/>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aseline="0"/>
              <a:t>Avg of Efficiency (per_km)</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'Electric Vehicle Insights'!$Y$2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Insights'!$X$3:$X$14</c:f>
              <c:strCache>
                <c:ptCount val="11"/>
                <c:pt idx="0">
                  <c:v>Lotus</c:v>
                </c:pt>
                <c:pt idx="1">
                  <c:v>Jaguar</c:v>
                </c:pt>
                <c:pt idx="2">
                  <c:v>Elaris</c:v>
                </c:pt>
                <c:pt idx="3">
                  <c:v>Hongqi</c:v>
                </c:pt>
                <c:pt idx="4">
                  <c:v>Voyah</c:v>
                </c:pt>
                <c:pt idx="5">
                  <c:v>Maserati</c:v>
                </c:pt>
                <c:pt idx="6">
                  <c:v>Mercedes-Benz</c:v>
                </c:pt>
                <c:pt idx="7">
                  <c:v>Maxus</c:v>
                </c:pt>
                <c:pt idx="8">
                  <c:v>Ford</c:v>
                </c:pt>
                <c:pt idx="9">
                  <c:v>Rolls-Royce</c:v>
                </c:pt>
                <c:pt idx="10">
                  <c:v>Cadillac</c:v>
                </c:pt>
              </c:strCache>
            </c:strRef>
          </c:cat>
          <c:val>
            <c:numRef>
              <c:f>'Electric Vehicle Insights'!$Y$3:$Y$14</c:f>
              <c:numCache>
                <c:formatCode>0.00</c:formatCode>
                <c:ptCount val="11"/>
                <c:pt idx="0">
                  <c:v>219.16666666666666</c:v>
                </c:pt>
                <c:pt idx="1">
                  <c:v>208</c:v>
                </c:pt>
                <c:pt idx="2">
                  <c:v>203</c:v>
                </c:pt>
                <c:pt idx="3">
                  <c:v>201.33333333333334</c:v>
                </c:pt>
                <c:pt idx="4">
                  <c:v>200</c:v>
                </c:pt>
                <c:pt idx="5">
                  <c:v>200</c:v>
                </c:pt>
                <c:pt idx="6">
                  <c:v>195</c:v>
                </c:pt>
                <c:pt idx="7">
                  <c:v>195</c:v>
                </c:pt>
                <c:pt idx="8">
                  <c:v>194.86363636363637</c:v>
                </c:pt>
                <c:pt idx="9">
                  <c:v>192</c:v>
                </c:pt>
                <c:pt idx="10">
                  <c:v>192</c:v>
                </c:pt>
              </c:numCache>
            </c:numRef>
          </c:val>
          <c:extLst>
            <c:ext xmlns:c16="http://schemas.microsoft.com/office/drawing/2014/chart" uri="{C3380CC4-5D6E-409C-BE32-E72D297353CC}">
              <c16:uniqueId val="{00000000-27C5-4EBF-A435-C502979E6CF7}"/>
            </c:ext>
          </c:extLst>
        </c:ser>
        <c:dLbls>
          <c:dLblPos val="outEnd"/>
          <c:showLegendKey val="0"/>
          <c:showVal val="1"/>
          <c:showCatName val="0"/>
          <c:showSerName val="0"/>
          <c:showPercent val="0"/>
          <c:showBubbleSize val="0"/>
        </c:dLbls>
        <c:gapWidth val="115"/>
        <c:overlap val="-20"/>
        <c:axId val="1733287615"/>
        <c:axId val="1733276575"/>
      </c:barChart>
      <c:catAx>
        <c:axId val="17332876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crossAx val="1733276575"/>
        <c:crosses val="autoZero"/>
        <c:auto val="1"/>
        <c:lblAlgn val="ctr"/>
        <c:lblOffset val="100"/>
        <c:noMultiLvlLbl val="0"/>
      </c:catAx>
      <c:valAx>
        <c:axId val="1733276575"/>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73328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[Dashboard_EV.xlsx]Electric Vehicle Insights!PivotTable 5</c:name>
    <c:fmtId val="17"/>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aseline="0"/>
              <a:t>Baterry Capacity vs Range by Models</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69979419294232"/>
          <c:y val="0.12651014002274039"/>
          <c:w val="0.54960387679591205"/>
          <c:h val="0.83802523778619631"/>
        </c:manualLayout>
      </c:layout>
      <c:barChart>
        <c:barDir val="bar"/>
        <c:grouping val="clustered"/>
        <c:varyColors val="0"/>
        <c:ser>
          <c:idx val="0"/>
          <c:order val="0"/>
          <c:tx>
            <c:strRef>
              <c:f>'Electric Vehicle Insights'!$T$2</c:f>
              <c:strCache>
                <c:ptCount val="1"/>
                <c:pt idx="0">
                  <c:v>Min of battery_capacity_kWh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Insights'!$S$3:$S$13</c:f>
              <c:strCache>
                <c:ptCount val="10"/>
                <c:pt idx="0">
                  <c:v>EQS 450+</c:v>
                </c:pt>
                <c:pt idx="1">
                  <c:v>EQS 450 4MATIC</c:v>
                </c:pt>
                <c:pt idx="2">
                  <c:v>EQS 580 4MATIC</c:v>
                </c:pt>
                <c:pt idx="3">
                  <c:v>EQS 500 4MATIC</c:v>
                </c:pt>
                <c:pt idx="4">
                  <c:v>EQS AMG 53 4MATIC+</c:v>
                </c:pt>
                <c:pt idx="5">
                  <c:v>EQS SUV 450+</c:v>
                </c:pt>
                <c:pt idx="6">
                  <c:v>EQS SUV 580 4MATIC</c:v>
                </c:pt>
                <c:pt idx="7">
                  <c:v>EQS SUV 500 4MATIC</c:v>
                </c:pt>
                <c:pt idx="8">
                  <c:v>EQS SUV 450 4MATIC</c:v>
                </c:pt>
                <c:pt idx="9">
                  <c:v>EQS SUV Maybach 680</c:v>
                </c:pt>
              </c:strCache>
            </c:strRef>
          </c:cat>
          <c:val>
            <c:numRef>
              <c:f>'Electric Vehicle Insights'!$T$3:$T$13</c:f>
              <c:numCache>
                <c:formatCode>0</c:formatCode>
                <c:ptCount val="10"/>
                <c:pt idx="0">
                  <c:v>118</c:v>
                </c:pt>
                <c:pt idx="1">
                  <c:v>118</c:v>
                </c:pt>
                <c:pt idx="2">
                  <c:v>118</c:v>
                </c:pt>
                <c:pt idx="3">
                  <c:v>118</c:v>
                </c:pt>
                <c:pt idx="4">
                  <c:v>118</c:v>
                </c:pt>
                <c:pt idx="5">
                  <c:v>118</c:v>
                </c:pt>
                <c:pt idx="6">
                  <c:v>118</c:v>
                </c:pt>
                <c:pt idx="7">
                  <c:v>118</c:v>
                </c:pt>
                <c:pt idx="8">
                  <c:v>118</c:v>
                </c:pt>
                <c:pt idx="9">
                  <c:v>118</c:v>
                </c:pt>
              </c:numCache>
            </c:numRef>
          </c:val>
          <c:extLst>
            <c:ext xmlns:c16="http://schemas.microsoft.com/office/drawing/2014/chart" uri="{C3380CC4-5D6E-409C-BE32-E72D297353CC}">
              <c16:uniqueId val="{00000000-476E-41E5-A056-7945D66FBADC}"/>
            </c:ext>
          </c:extLst>
        </c:ser>
        <c:ser>
          <c:idx val="1"/>
          <c:order val="1"/>
          <c:tx>
            <c:strRef>
              <c:f>'Electric Vehicle Insights'!$U$2</c:f>
              <c:strCache>
                <c:ptCount val="1"/>
                <c:pt idx="0">
                  <c:v>Avg of range (km)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Insights'!$S$3:$S$13</c:f>
              <c:strCache>
                <c:ptCount val="10"/>
                <c:pt idx="0">
                  <c:v>EQS 450+</c:v>
                </c:pt>
                <c:pt idx="1">
                  <c:v>EQS 450 4MATIC</c:v>
                </c:pt>
                <c:pt idx="2">
                  <c:v>EQS 580 4MATIC</c:v>
                </c:pt>
                <c:pt idx="3">
                  <c:v>EQS 500 4MATIC</c:v>
                </c:pt>
                <c:pt idx="4">
                  <c:v>EQS AMG 53 4MATIC+</c:v>
                </c:pt>
                <c:pt idx="5">
                  <c:v>EQS SUV 450+</c:v>
                </c:pt>
                <c:pt idx="6">
                  <c:v>EQS SUV 580 4MATIC</c:v>
                </c:pt>
                <c:pt idx="7">
                  <c:v>EQS SUV 500 4MATIC</c:v>
                </c:pt>
                <c:pt idx="8">
                  <c:v>EQS SUV 450 4MATIC</c:v>
                </c:pt>
                <c:pt idx="9">
                  <c:v>EQS SUV Maybach 680</c:v>
                </c:pt>
              </c:strCache>
            </c:strRef>
          </c:cat>
          <c:val>
            <c:numRef>
              <c:f>'Electric Vehicle Insights'!$U$3:$U$13</c:f>
              <c:numCache>
                <c:formatCode>0</c:formatCode>
                <c:ptCount val="10"/>
                <c:pt idx="0">
                  <c:v>685</c:v>
                </c:pt>
                <c:pt idx="1">
                  <c:v>655</c:v>
                </c:pt>
                <c:pt idx="2">
                  <c:v>640</c:v>
                </c:pt>
                <c:pt idx="3">
                  <c:v>640</c:v>
                </c:pt>
                <c:pt idx="4">
                  <c:v>585</c:v>
                </c:pt>
                <c:pt idx="5">
                  <c:v>540</c:v>
                </c:pt>
                <c:pt idx="6">
                  <c:v>530</c:v>
                </c:pt>
                <c:pt idx="7">
                  <c:v>530</c:v>
                </c:pt>
                <c:pt idx="8">
                  <c:v>530</c:v>
                </c:pt>
                <c:pt idx="9">
                  <c:v>490</c:v>
                </c:pt>
              </c:numCache>
            </c:numRef>
          </c:val>
          <c:extLst>
            <c:ext xmlns:c16="http://schemas.microsoft.com/office/drawing/2014/chart" uri="{C3380CC4-5D6E-409C-BE32-E72D297353CC}">
              <c16:uniqueId val="{00000001-476E-41E5-A056-7945D66FBADC}"/>
            </c:ext>
          </c:extLst>
        </c:ser>
        <c:dLbls>
          <c:dLblPos val="outEnd"/>
          <c:showLegendKey val="0"/>
          <c:showVal val="1"/>
          <c:showCatName val="0"/>
          <c:showSerName val="0"/>
          <c:showPercent val="0"/>
          <c:showBubbleSize val="0"/>
        </c:dLbls>
        <c:gapWidth val="115"/>
        <c:overlap val="-20"/>
        <c:axId val="1609532880"/>
        <c:axId val="1609553040"/>
      </c:barChart>
      <c:catAx>
        <c:axId val="1609532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crossAx val="1609553040"/>
        <c:crosses val="autoZero"/>
        <c:auto val="1"/>
        <c:lblAlgn val="ctr"/>
        <c:lblOffset val="100"/>
        <c:noMultiLvlLbl val="0"/>
      </c:catAx>
      <c:valAx>
        <c:axId val="1609553040"/>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609532880"/>
        <c:crosses val="autoZero"/>
        <c:crossBetween val="between"/>
      </c:valAx>
      <c:spPr>
        <a:noFill/>
        <a:ln>
          <a:noFill/>
        </a:ln>
        <a:effectLst/>
      </c:spPr>
    </c:plotArea>
    <c:legend>
      <c:legendPos val="r"/>
      <c:layout>
        <c:manualLayout>
          <c:xMode val="edge"/>
          <c:yMode val="edge"/>
          <c:x val="0.79975600902739974"/>
          <c:y val="0.33536992535467908"/>
          <c:w val="0.19922103286432027"/>
          <c:h val="0.3398966499938291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[Dashboard_EV.xlsx]Electric Vehicle Insights!PivotTable 8</c:name>
    <c:fmtId val="26"/>
  </c:pivotSource>
  <c:chart>
    <c:title>
      <c:tx>
        <c:rich>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Motor Power &amp; Acceleration by Models</a:t>
            </a:r>
          </a:p>
        </c:rich>
      </c:tx>
      <c:overlay val="0"/>
      <c:spPr>
        <a:noFill/>
        <a:ln>
          <a:noFill/>
        </a:ln>
        <a:effectLst/>
      </c:spPr>
      <c:txPr>
        <a:bodyPr rot="0" spcFirstLastPara="1" vertOverflow="ellipsis" vert="horz" wrap="square" anchor="ctr" anchorCtr="1"/>
        <a:lstStyle/>
        <a:p>
          <a:pPr>
            <a:defRPr sz="2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67075208531604"/>
          <c:y val="0.12415796422402668"/>
          <c:w val="0.42353368775006839"/>
          <c:h val="0.82945578342063442"/>
        </c:manualLayout>
      </c:layout>
      <c:barChart>
        <c:barDir val="bar"/>
        <c:grouping val="percentStacked"/>
        <c:varyColors val="0"/>
        <c:ser>
          <c:idx val="0"/>
          <c:order val="0"/>
          <c:tx>
            <c:strRef>
              <c:f>'Electric Vehicle Insights'!$AG$2</c:f>
              <c:strCache>
                <c:ptCount val="1"/>
                <c:pt idx="0">
                  <c:v>Sum of Motor Power (Nm)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Insights'!$AF$3:$AF$13</c:f>
              <c:strCache>
                <c:ptCount val="10"/>
                <c:pt idx="0">
                  <c:v>GranCabrio Folgore</c:v>
                </c:pt>
                <c:pt idx="1">
                  <c:v>GranTurismo Folgore</c:v>
                </c:pt>
                <c:pt idx="2">
                  <c:v>Taycan Turbo GT Weissach</c:v>
                </c:pt>
                <c:pt idx="3">
                  <c:v>Taycan Turbo GT</c:v>
                </c:pt>
                <c:pt idx="4">
                  <c:v>Air Grand Touring</c:v>
                </c:pt>
                <c:pt idx="5">
                  <c:v>G 580</c:v>
                </c:pt>
                <c:pt idx="6">
                  <c:v>Taycan Turbo S Cross Turismo</c:v>
                </c:pt>
                <c:pt idx="7">
                  <c:v>Taycan Turbo S Sport Turismo</c:v>
                </c:pt>
                <c:pt idx="8">
                  <c:v>Taycan Turbo S</c:v>
                </c:pt>
                <c:pt idx="9">
                  <c:v>i7 M70 xDrive</c:v>
                </c:pt>
              </c:strCache>
            </c:strRef>
          </c:cat>
          <c:val>
            <c:numRef>
              <c:f>'Electric Vehicle Insights'!$AG$3:$AG$13</c:f>
              <c:numCache>
                <c:formatCode>0</c:formatCode>
                <c:ptCount val="10"/>
                <c:pt idx="0">
                  <c:v>1350</c:v>
                </c:pt>
                <c:pt idx="1">
                  <c:v>1350</c:v>
                </c:pt>
                <c:pt idx="2">
                  <c:v>1340</c:v>
                </c:pt>
                <c:pt idx="3">
                  <c:v>1340</c:v>
                </c:pt>
                <c:pt idx="4">
                  <c:v>1200</c:v>
                </c:pt>
                <c:pt idx="5">
                  <c:v>1164</c:v>
                </c:pt>
                <c:pt idx="6">
                  <c:v>1110</c:v>
                </c:pt>
                <c:pt idx="7">
                  <c:v>1110</c:v>
                </c:pt>
                <c:pt idx="8">
                  <c:v>1110</c:v>
                </c:pt>
                <c:pt idx="9">
                  <c:v>1100</c:v>
                </c:pt>
              </c:numCache>
            </c:numRef>
          </c:val>
          <c:extLst>
            <c:ext xmlns:c16="http://schemas.microsoft.com/office/drawing/2014/chart" uri="{C3380CC4-5D6E-409C-BE32-E72D297353CC}">
              <c16:uniqueId val="{00000000-BAF1-4FE8-9225-9CCF73A4D92E}"/>
            </c:ext>
          </c:extLst>
        </c:ser>
        <c:ser>
          <c:idx val="1"/>
          <c:order val="1"/>
          <c:tx>
            <c:strRef>
              <c:f>'Electric Vehicle Insights'!$AH$2</c:f>
              <c:strCache>
                <c:ptCount val="1"/>
                <c:pt idx="0">
                  <c:v>Avg of acceleration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lt1">
                        <a:lumMod val="85000"/>
                      </a:schemeClr>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Insights'!$AF$3:$AF$13</c:f>
              <c:strCache>
                <c:ptCount val="10"/>
                <c:pt idx="0">
                  <c:v>GranCabrio Folgore</c:v>
                </c:pt>
                <c:pt idx="1">
                  <c:v>GranTurismo Folgore</c:v>
                </c:pt>
                <c:pt idx="2">
                  <c:v>Taycan Turbo GT Weissach</c:v>
                </c:pt>
                <c:pt idx="3">
                  <c:v>Taycan Turbo GT</c:v>
                </c:pt>
                <c:pt idx="4">
                  <c:v>Air Grand Touring</c:v>
                </c:pt>
                <c:pt idx="5">
                  <c:v>G 580</c:v>
                </c:pt>
                <c:pt idx="6">
                  <c:v>Taycan Turbo S Cross Turismo</c:v>
                </c:pt>
                <c:pt idx="7">
                  <c:v>Taycan Turbo S Sport Turismo</c:v>
                </c:pt>
                <c:pt idx="8">
                  <c:v>Taycan Turbo S</c:v>
                </c:pt>
                <c:pt idx="9">
                  <c:v>i7 M70 xDrive</c:v>
                </c:pt>
              </c:strCache>
            </c:strRef>
          </c:cat>
          <c:val>
            <c:numRef>
              <c:f>'Electric Vehicle Insights'!$AH$3:$AH$13</c:f>
              <c:numCache>
                <c:formatCode>0</c:formatCode>
                <c:ptCount val="10"/>
                <c:pt idx="0">
                  <c:v>2.8</c:v>
                </c:pt>
                <c:pt idx="1">
                  <c:v>2.7</c:v>
                </c:pt>
                <c:pt idx="2">
                  <c:v>2.2000000000000002</c:v>
                </c:pt>
                <c:pt idx="3">
                  <c:v>2.2999999999999998</c:v>
                </c:pt>
                <c:pt idx="4">
                  <c:v>3</c:v>
                </c:pt>
                <c:pt idx="5">
                  <c:v>4.7</c:v>
                </c:pt>
                <c:pt idx="6">
                  <c:v>2.5</c:v>
                </c:pt>
                <c:pt idx="7">
                  <c:v>2.4</c:v>
                </c:pt>
                <c:pt idx="8">
                  <c:v>2.4</c:v>
                </c:pt>
                <c:pt idx="9">
                  <c:v>3.7</c:v>
                </c:pt>
              </c:numCache>
            </c:numRef>
          </c:val>
          <c:extLst>
            <c:ext xmlns:c16="http://schemas.microsoft.com/office/drawing/2014/chart" uri="{C3380CC4-5D6E-409C-BE32-E72D297353CC}">
              <c16:uniqueId val="{00000001-BAF1-4FE8-9225-9CCF73A4D92E}"/>
            </c:ext>
          </c:extLst>
        </c:ser>
        <c:dLbls>
          <c:dLblPos val="inEnd"/>
          <c:showLegendKey val="0"/>
          <c:showVal val="1"/>
          <c:showCatName val="0"/>
          <c:showSerName val="0"/>
          <c:showPercent val="0"/>
          <c:showBubbleSize val="0"/>
        </c:dLbls>
        <c:gapWidth val="150"/>
        <c:overlap val="100"/>
        <c:axId val="34334175"/>
        <c:axId val="34333215"/>
      </c:barChart>
      <c:catAx>
        <c:axId val="343341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crossAx val="34333215"/>
        <c:crosses val="autoZero"/>
        <c:auto val="1"/>
        <c:lblAlgn val="ctr"/>
        <c:lblOffset val="100"/>
        <c:noMultiLvlLbl val="0"/>
      </c:catAx>
      <c:valAx>
        <c:axId val="34333215"/>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34334175"/>
        <c:crosses val="autoZero"/>
        <c:crossBetween val="between"/>
      </c:valAx>
      <c:spPr>
        <a:noFill/>
        <a:ln>
          <a:noFill/>
        </a:ln>
        <a:effectLst/>
      </c:spPr>
    </c:plotArea>
    <c:legend>
      <c:legendPos val="r"/>
      <c:layout>
        <c:manualLayout>
          <c:xMode val="edge"/>
          <c:yMode val="edge"/>
          <c:x val="0.76854047307547824"/>
          <c:y val="0.35818830912744004"/>
          <c:w val="0.22952412809901926"/>
          <c:h val="0.26642600439332098"/>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[Dashboard_EV.xlsx]Electric Vehicle Insights!PivotTable 7</c:name>
    <c:fmtId val="21"/>
  </c:pivotSource>
  <c:chart>
    <c:title>
      <c:tx>
        <c:rich>
          <a:bodyPr rot="0" spcFirstLastPara="1" vertOverflow="ellipsis" vert="horz" wrap="square" anchor="ctr" anchorCtr="1"/>
          <a:lstStyle/>
          <a:p>
            <a:pPr>
              <a:defRPr sz="2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500" baseline="0"/>
              <a:t>Battery capacity vs. Fast charging (Avg) by Brands (Top 10)</a:t>
            </a:r>
          </a:p>
        </c:rich>
      </c:tx>
      <c:overlay val="0"/>
      <c:spPr>
        <a:noFill/>
        <a:ln>
          <a:noFill/>
        </a:ln>
        <a:effectLst/>
      </c:spPr>
      <c:txPr>
        <a:bodyPr rot="0" spcFirstLastPara="1" vertOverflow="ellipsis" vert="horz" wrap="square" anchor="ctr" anchorCtr="1"/>
        <a:lstStyle/>
        <a:p>
          <a:pPr>
            <a:defRPr sz="25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ru-RU"/>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723415029562629E-2"/>
          <c:y val="0.12257689863858422"/>
          <c:w val="0.74022467149648541"/>
          <c:h val="0.83863383057158247"/>
        </c:manualLayout>
      </c:layout>
      <c:barChart>
        <c:barDir val="bar"/>
        <c:grouping val="clustered"/>
        <c:varyColors val="0"/>
        <c:ser>
          <c:idx val="0"/>
          <c:order val="0"/>
          <c:tx>
            <c:strRef>
              <c:f>'Electric Vehicle Insights'!$AB$2</c:f>
              <c:strCache>
                <c:ptCount val="1"/>
                <c:pt idx="0">
                  <c:v>Avg of fast charging (KW)</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Insights'!$AA$3:$AA$13</c:f>
              <c:strCache>
                <c:ptCount val="10"/>
                <c:pt idx="0">
                  <c:v>Porsche</c:v>
                </c:pt>
                <c:pt idx="1">
                  <c:v>Lotus</c:v>
                </c:pt>
                <c:pt idx="2">
                  <c:v>Genesis</c:v>
                </c:pt>
                <c:pt idx="3">
                  <c:v>Audi</c:v>
                </c:pt>
                <c:pt idx="4">
                  <c:v>Maserati</c:v>
                </c:pt>
                <c:pt idx="5">
                  <c:v>XPENG</c:v>
                </c:pt>
                <c:pt idx="6">
                  <c:v>Lucid</c:v>
                </c:pt>
                <c:pt idx="7">
                  <c:v>Cadillac</c:v>
                </c:pt>
                <c:pt idx="8">
                  <c:v>Zeekr</c:v>
                </c:pt>
                <c:pt idx="9">
                  <c:v>Hyundai</c:v>
                </c:pt>
              </c:strCache>
            </c:strRef>
          </c:cat>
          <c:val>
            <c:numRef>
              <c:f>'Electric Vehicle Insights'!$AB$3:$AB$13</c:f>
              <c:numCache>
                <c:formatCode>0</c:formatCode>
                <c:ptCount val="10"/>
                <c:pt idx="0">
                  <c:v>252</c:v>
                </c:pt>
                <c:pt idx="1">
                  <c:v>249.5</c:v>
                </c:pt>
                <c:pt idx="2">
                  <c:v>190</c:v>
                </c:pt>
                <c:pt idx="3">
                  <c:v>180.14285714285714</c:v>
                </c:pt>
                <c:pt idx="4">
                  <c:v>172.33333333333334</c:v>
                </c:pt>
                <c:pt idx="5">
                  <c:v>170.22222222222223</c:v>
                </c:pt>
                <c:pt idx="6">
                  <c:v>168</c:v>
                </c:pt>
                <c:pt idx="7">
                  <c:v>165</c:v>
                </c:pt>
                <c:pt idx="8">
                  <c:v>162.55555555555554</c:v>
                </c:pt>
                <c:pt idx="9">
                  <c:v>152.57142857142858</c:v>
                </c:pt>
              </c:numCache>
            </c:numRef>
          </c:val>
          <c:extLst>
            <c:ext xmlns:c16="http://schemas.microsoft.com/office/drawing/2014/chart" uri="{C3380CC4-5D6E-409C-BE32-E72D297353CC}">
              <c16:uniqueId val="{00000000-89B7-42D7-B395-CA2E6520C0B6}"/>
            </c:ext>
          </c:extLst>
        </c:ser>
        <c:ser>
          <c:idx val="1"/>
          <c:order val="1"/>
          <c:tx>
            <c:strRef>
              <c:f>'Electric Vehicle Insights'!$AC$2</c:f>
              <c:strCache>
                <c:ptCount val="1"/>
                <c:pt idx="0">
                  <c:v>Avg of battery capacity (kWh)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'Electric Vehicle Insights'!$AA$3:$AA$13</c:f>
              <c:strCache>
                <c:ptCount val="10"/>
                <c:pt idx="0">
                  <c:v>Porsche</c:v>
                </c:pt>
                <c:pt idx="1">
                  <c:v>Lotus</c:v>
                </c:pt>
                <c:pt idx="2">
                  <c:v>Genesis</c:v>
                </c:pt>
                <c:pt idx="3">
                  <c:v>Audi</c:v>
                </c:pt>
                <c:pt idx="4">
                  <c:v>Maserati</c:v>
                </c:pt>
                <c:pt idx="5">
                  <c:v>XPENG</c:v>
                </c:pt>
                <c:pt idx="6">
                  <c:v>Lucid</c:v>
                </c:pt>
                <c:pt idx="7">
                  <c:v>Cadillac</c:v>
                </c:pt>
                <c:pt idx="8">
                  <c:v>Zeekr</c:v>
                </c:pt>
                <c:pt idx="9">
                  <c:v>Hyundai</c:v>
                </c:pt>
              </c:strCache>
            </c:strRef>
          </c:cat>
          <c:val>
            <c:numRef>
              <c:f>'Electric Vehicle Insights'!$AC$3:$AC$13</c:f>
              <c:numCache>
                <c:formatCode>0</c:formatCode>
                <c:ptCount val="10"/>
                <c:pt idx="0">
                  <c:v>93.865384615384613</c:v>
                </c:pt>
                <c:pt idx="1">
                  <c:v>103.94999999999999</c:v>
                </c:pt>
                <c:pt idx="2">
                  <c:v>75.7</c:v>
                </c:pt>
                <c:pt idx="3">
                  <c:v>86.071428571428598</c:v>
                </c:pt>
                <c:pt idx="4">
                  <c:v>87</c:v>
                </c:pt>
                <c:pt idx="5">
                  <c:v>83.455555555555577</c:v>
                </c:pt>
                <c:pt idx="6">
                  <c:v>98.666666666666671</c:v>
                </c:pt>
                <c:pt idx="7">
                  <c:v>102</c:v>
                </c:pt>
                <c:pt idx="8">
                  <c:v>80</c:v>
                </c:pt>
                <c:pt idx="9">
                  <c:v>72.48571428571428</c:v>
                </c:pt>
              </c:numCache>
            </c:numRef>
          </c:val>
          <c:extLst>
            <c:ext xmlns:c16="http://schemas.microsoft.com/office/drawing/2014/chart" uri="{C3380CC4-5D6E-409C-BE32-E72D297353CC}">
              <c16:uniqueId val="{00000001-89B7-42D7-B395-CA2E6520C0B6}"/>
            </c:ext>
          </c:extLst>
        </c:ser>
        <c:dLbls>
          <c:dLblPos val="outEnd"/>
          <c:showLegendKey val="0"/>
          <c:showVal val="1"/>
          <c:showCatName val="0"/>
          <c:showSerName val="0"/>
          <c:showPercent val="0"/>
          <c:showBubbleSize val="0"/>
        </c:dLbls>
        <c:gapWidth val="115"/>
        <c:overlap val="-20"/>
        <c:axId val="1765107231"/>
        <c:axId val="1765133631"/>
      </c:barChart>
      <c:catAx>
        <c:axId val="17651072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crossAx val="1765133631"/>
        <c:crosses val="autoZero"/>
        <c:auto val="1"/>
        <c:lblAlgn val="ctr"/>
        <c:lblOffset val="100"/>
        <c:noMultiLvlLbl val="0"/>
      </c:catAx>
      <c:valAx>
        <c:axId val="1765133631"/>
        <c:scaling>
          <c:orientation val="minMax"/>
        </c:scaling>
        <c:delete val="1"/>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1765107231"/>
        <c:crosses val="autoZero"/>
        <c:crossBetween val="between"/>
      </c:valAx>
      <c:spPr>
        <a:noFill/>
        <a:ln>
          <a:noFill/>
        </a:ln>
        <a:effectLst/>
      </c:spPr>
    </c:plotArea>
    <c:legend>
      <c:legendPos val="r"/>
      <c:layout>
        <c:manualLayout>
          <c:xMode val="edge"/>
          <c:yMode val="edge"/>
          <c:x val="0.83098794052493818"/>
          <c:y val="0.38680390835527978"/>
          <c:w val="0.16167392952140275"/>
          <c:h val="0.1888219937537910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b="1" i="0" baseline="0"/>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15229</xdr:rowOff>
    </xdr:from>
    <xdr:to>
      <xdr:col>4</xdr:col>
      <xdr:colOff>600808</xdr:colOff>
      <xdr:row>2</xdr:row>
      <xdr:rowOff>281608</xdr:rowOff>
    </xdr:to>
    <xdr:pic>
      <xdr:nvPicPr>
        <xdr:cNvPr id="21" name="Picture 20">
          <a:extLst>
            <a:ext uri="{FF2B5EF4-FFF2-40B4-BE49-F238E27FC236}">
              <a16:creationId xmlns:a16="http://schemas.microsoft.com/office/drawing/2014/main" id="{1F6D2796-0EF8-F5EA-3ABE-D29171F4C0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5229"/>
          <a:ext cx="3052460" cy="1111205"/>
        </a:xfrm>
        <a:prstGeom prst="rect">
          <a:avLst/>
        </a:prstGeom>
      </xdr:spPr>
    </xdr:pic>
    <xdr:clientData/>
  </xdr:twoCellAnchor>
  <xdr:twoCellAnchor>
    <xdr:from>
      <xdr:col>0</xdr:col>
      <xdr:colOff>138333</xdr:colOff>
      <xdr:row>2</xdr:row>
      <xdr:rowOff>300759</xdr:rowOff>
    </xdr:from>
    <xdr:to>
      <xdr:col>8</xdr:col>
      <xdr:colOff>383932</xdr:colOff>
      <xdr:row>36</xdr:row>
      <xdr:rowOff>49698</xdr:rowOff>
    </xdr:to>
    <mc:AlternateContent xmlns:mc="http://schemas.openxmlformats.org/markup-compatibility/2006">
      <mc:Choice xmlns:a14="http://schemas.microsoft.com/office/drawing/2010/main" Requires="a14">
        <xdr:graphicFrame macro="">
          <xdr:nvGraphicFramePr>
            <xdr:cNvPr id="64" name="brand 2">
              <a:extLst>
                <a:ext uri="{FF2B5EF4-FFF2-40B4-BE49-F238E27FC236}">
                  <a16:creationId xmlns:a16="http://schemas.microsoft.com/office/drawing/2014/main" id="{053E0F48-29E3-8450-66CA-02ED05D95DB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dr:sp macro="" textlink="">
          <xdr:nvSpPr>
            <xdr:cNvPr id="0" name=""/>
            <xdr:cNvSpPr>
              <a:spLocks noTextEdit="1"/>
            </xdr:cNvSpPr>
          </xdr:nvSpPr>
          <xdr:spPr>
            <a:xfrm>
              <a:off x="138333" y="1145585"/>
              <a:ext cx="5148903" cy="622593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124570</xdr:colOff>
      <xdr:row>36</xdr:row>
      <xdr:rowOff>134513</xdr:rowOff>
    </xdr:from>
    <xdr:to>
      <xdr:col>8</xdr:col>
      <xdr:colOff>385722</xdr:colOff>
      <xdr:row>47</xdr:row>
      <xdr:rowOff>141800</xdr:rowOff>
    </xdr:to>
    <mc:AlternateContent xmlns:mc="http://schemas.openxmlformats.org/markup-compatibility/2006">
      <mc:Choice xmlns:a14="http://schemas.microsoft.com/office/drawing/2010/main" Requires="a14">
        <xdr:graphicFrame macro="">
          <xdr:nvGraphicFramePr>
            <xdr:cNvPr id="65" name="car_body_type 2">
              <a:extLst>
                <a:ext uri="{FF2B5EF4-FFF2-40B4-BE49-F238E27FC236}">
                  <a16:creationId xmlns:a16="http://schemas.microsoft.com/office/drawing/2014/main" id="{C90B80BA-AB45-27F4-5F22-2036A8002EC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r_body_type 2"/>
            </a:graphicData>
          </a:graphic>
        </xdr:graphicFrame>
      </mc:Choice>
      <mc:Fallback>
        <xdr:sp macro="" textlink="">
          <xdr:nvSpPr>
            <xdr:cNvPr id="0" name=""/>
            <xdr:cNvSpPr>
              <a:spLocks noTextEdit="1"/>
            </xdr:cNvSpPr>
          </xdr:nvSpPr>
          <xdr:spPr>
            <a:xfrm>
              <a:off x="124570" y="7456339"/>
              <a:ext cx="5164456" cy="201167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124252</xdr:colOff>
      <xdr:row>48</xdr:row>
      <xdr:rowOff>66338</xdr:rowOff>
    </xdr:from>
    <xdr:to>
      <xdr:col>8</xdr:col>
      <xdr:colOff>399158</xdr:colOff>
      <xdr:row>59</xdr:row>
      <xdr:rowOff>66264</xdr:rowOff>
    </xdr:to>
    <mc:AlternateContent xmlns:mc="http://schemas.openxmlformats.org/markup-compatibility/2006">
      <mc:Choice xmlns:a14="http://schemas.microsoft.com/office/drawing/2010/main" Requires="a14">
        <xdr:graphicFrame macro="">
          <xdr:nvGraphicFramePr>
            <xdr:cNvPr id="66" name="top_speed_group 2">
              <a:extLst>
                <a:ext uri="{FF2B5EF4-FFF2-40B4-BE49-F238E27FC236}">
                  <a16:creationId xmlns:a16="http://schemas.microsoft.com/office/drawing/2014/main" id="{6EFBA495-42D7-6844-796D-7F67DC6ADD3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top_speed_group 2"/>
            </a:graphicData>
          </a:graphic>
        </xdr:graphicFrame>
      </mc:Choice>
      <mc:Fallback>
        <xdr:sp macro="" textlink="">
          <xdr:nvSpPr>
            <xdr:cNvPr id="0" name=""/>
            <xdr:cNvSpPr>
              <a:spLocks noTextEdit="1"/>
            </xdr:cNvSpPr>
          </xdr:nvSpPr>
          <xdr:spPr>
            <a:xfrm>
              <a:off x="124252" y="9574773"/>
              <a:ext cx="5178210" cy="200431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131453</xdr:colOff>
      <xdr:row>60</xdr:row>
      <xdr:rowOff>1</xdr:rowOff>
    </xdr:from>
    <xdr:to>
      <xdr:col>8</xdr:col>
      <xdr:colOff>391706</xdr:colOff>
      <xdr:row>66</xdr:row>
      <xdr:rowOff>82830</xdr:rowOff>
    </xdr:to>
    <mc:AlternateContent xmlns:mc="http://schemas.openxmlformats.org/markup-compatibility/2006">
      <mc:Choice xmlns:a14="http://schemas.microsoft.com/office/drawing/2010/main" Requires="a14">
        <xdr:graphicFrame macro="">
          <xdr:nvGraphicFramePr>
            <xdr:cNvPr id="67" name="range_km_category 2">
              <a:extLst>
                <a:ext uri="{FF2B5EF4-FFF2-40B4-BE49-F238E27FC236}">
                  <a16:creationId xmlns:a16="http://schemas.microsoft.com/office/drawing/2014/main" id="{16640687-F7B3-E493-DA54-A56FEFC4C59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ange_km_category 2"/>
            </a:graphicData>
          </a:graphic>
        </xdr:graphicFrame>
      </mc:Choice>
      <mc:Fallback>
        <xdr:sp macro="" textlink="">
          <xdr:nvSpPr>
            <xdr:cNvPr id="0" name=""/>
            <xdr:cNvSpPr>
              <a:spLocks noTextEdit="1"/>
            </xdr:cNvSpPr>
          </xdr:nvSpPr>
          <xdr:spPr>
            <a:xfrm>
              <a:off x="131453" y="11695044"/>
              <a:ext cx="5163557" cy="117613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132520</xdr:colOff>
      <xdr:row>67</xdr:row>
      <xdr:rowOff>1</xdr:rowOff>
    </xdr:from>
    <xdr:to>
      <xdr:col>8</xdr:col>
      <xdr:colOff>422080</xdr:colOff>
      <xdr:row>74</xdr:row>
      <xdr:rowOff>82829</xdr:rowOff>
    </xdr:to>
    <mc:AlternateContent xmlns:mc="http://schemas.openxmlformats.org/markup-compatibility/2006">
      <mc:Choice xmlns:a14="http://schemas.microsoft.com/office/drawing/2010/main" Requires="a14">
        <xdr:graphicFrame macro="">
          <xdr:nvGraphicFramePr>
            <xdr:cNvPr id="68" name="fast_charging_group 2">
              <a:extLst>
                <a:ext uri="{FF2B5EF4-FFF2-40B4-BE49-F238E27FC236}">
                  <a16:creationId xmlns:a16="http://schemas.microsoft.com/office/drawing/2014/main" id="{D330C32C-6F93-568B-BB5D-21E4FFC5FB7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fast_charging_group 2"/>
            </a:graphicData>
          </a:graphic>
        </xdr:graphicFrame>
      </mc:Choice>
      <mc:Fallback>
        <xdr:sp macro="" textlink="">
          <xdr:nvSpPr>
            <xdr:cNvPr id="0" name=""/>
            <xdr:cNvSpPr>
              <a:spLocks noTextEdit="1"/>
            </xdr:cNvSpPr>
          </xdr:nvSpPr>
          <xdr:spPr>
            <a:xfrm>
              <a:off x="132520" y="12970566"/>
              <a:ext cx="5192864" cy="135835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132520</xdr:colOff>
      <xdr:row>75</xdr:row>
      <xdr:rowOff>16565</xdr:rowOff>
    </xdr:from>
    <xdr:to>
      <xdr:col>8</xdr:col>
      <xdr:colOff>463826</xdr:colOff>
      <xdr:row>81</xdr:row>
      <xdr:rowOff>150489</xdr:rowOff>
    </xdr:to>
    <mc:AlternateContent xmlns:mc="http://schemas.openxmlformats.org/markup-compatibility/2006">
      <mc:Choice xmlns:a14="http://schemas.microsoft.com/office/drawing/2010/main" Requires="a14">
        <xdr:graphicFrame macro="">
          <xdr:nvGraphicFramePr>
            <xdr:cNvPr id="70" name="Efficiency Category 2">
              <a:extLst>
                <a:ext uri="{FF2B5EF4-FFF2-40B4-BE49-F238E27FC236}">
                  <a16:creationId xmlns:a16="http://schemas.microsoft.com/office/drawing/2014/main" id="{5A6E750D-D461-42FB-5DE4-20E5169B318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fficiency Category 2"/>
            </a:graphicData>
          </a:graphic>
        </xdr:graphicFrame>
      </mc:Choice>
      <mc:Fallback>
        <xdr:sp macro="" textlink="">
          <xdr:nvSpPr>
            <xdr:cNvPr id="0" name=""/>
            <xdr:cNvSpPr>
              <a:spLocks noTextEdit="1"/>
            </xdr:cNvSpPr>
          </xdr:nvSpPr>
          <xdr:spPr>
            <a:xfrm>
              <a:off x="132520" y="14444869"/>
              <a:ext cx="5234610" cy="1227229"/>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569992</xdr:colOff>
      <xdr:row>30</xdr:row>
      <xdr:rowOff>130103</xdr:rowOff>
    </xdr:from>
    <xdr:to>
      <xdr:col>33</xdr:col>
      <xdr:colOff>115956</xdr:colOff>
      <xdr:row>58</xdr:row>
      <xdr:rowOff>54028</xdr:rowOff>
    </xdr:to>
    <xdr:graphicFrame macro="">
      <xdr:nvGraphicFramePr>
        <xdr:cNvPr id="8" name="Chart 2">
          <a:extLst>
            <a:ext uri="{FF2B5EF4-FFF2-40B4-BE49-F238E27FC236}">
              <a16:creationId xmlns:a16="http://schemas.microsoft.com/office/drawing/2014/main" id="{538E7392-82A8-41E9-A0B2-EF1334131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569330</xdr:colOff>
      <xdr:row>2</xdr:row>
      <xdr:rowOff>292120</xdr:rowOff>
    </xdr:from>
    <xdr:to>
      <xdr:col>29</xdr:col>
      <xdr:colOff>331306</xdr:colOff>
      <xdr:row>29</xdr:row>
      <xdr:rowOff>119461</xdr:rowOff>
    </xdr:to>
    <xdr:graphicFrame macro="">
      <xdr:nvGraphicFramePr>
        <xdr:cNvPr id="9" name="Chart 4">
          <a:extLst>
            <a:ext uri="{FF2B5EF4-FFF2-40B4-BE49-F238E27FC236}">
              <a16:creationId xmlns:a16="http://schemas.microsoft.com/office/drawing/2014/main" id="{7A20A834-9849-4681-8F4C-67AC644BF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33</xdr:col>
      <xdr:colOff>370234</xdr:colOff>
      <xdr:row>30</xdr:row>
      <xdr:rowOff>127932</xdr:rowOff>
    </xdr:from>
    <xdr:to>
      <xdr:col>50</xdr:col>
      <xdr:colOff>414131</xdr:colOff>
      <xdr:row>58</xdr:row>
      <xdr:rowOff>66261</xdr:rowOff>
    </xdr:to>
    <xdr:graphicFrame macro="">
      <xdr:nvGraphicFramePr>
        <xdr:cNvPr id="10" name="Chart 6">
          <a:extLst>
            <a:ext uri="{FF2B5EF4-FFF2-40B4-BE49-F238E27FC236}">
              <a16:creationId xmlns:a16="http://schemas.microsoft.com/office/drawing/2014/main" id="{573217AB-4D42-4DA0-AC59-0F9D66726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8</xdr:col>
      <xdr:colOff>579783</xdr:colOff>
      <xdr:row>59</xdr:row>
      <xdr:rowOff>78238</xdr:rowOff>
    </xdr:from>
    <xdr:to>
      <xdr:col>29</xdr:col>
      <xdr:colOff>397565</xdr:colOff>
      <xdr:row>82</xdr:row>
      <xdr:rowOff>149260</xdr:rowOff>
    </xdr:to>
    <xdr:graphicFrame macro="">
      <xdr:nvGraphicFramePr>
        <xdr:cNvPr id="11" name="Chart 1">
          <a:extLst>
            <a:ext uri="{FF2B5EF4-FFF2-40B4-BE49-F238E27FC236}">
              <a16:creationId xmlns:a16="http://schemas.microsoft.com/office/drawing/2014/main" id="{593FFD3E-01C6-464B-9746-995F26DC25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29</xdr:col>
      <xdr:colOff>546651</xdr:colOff>
      <xdr:row>2</xdr:row>
      <xdr:rowOff>281609</xdr:rowOff>
    </xdr:from>
    <xdr:to>
      <xdr:col>50</xdr:col>
      <xdr:colOff>397564</xdr:colOff>
      <xdr:row>29</xdr:row>
      <xdr:rowOff>115957</xdr:rowOff>
    </xdr:to>
    <xdr:graphicFrame macro="">
      <xdr:nvGraphicFramePr>
        <xdr:cNvPr id="2" name="Chart 3">
          <a:extLst>
            <a:ext uri="{FF2B5EF4-FFF2-40B4-BE49-F238E27FC236}">
              <a16:creationId xmlns:a16="http://schemas.microsoft.com/office/drawing/2014/main" id="{E8957E8B-1F47-42E9-B06B-D1394AD78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30</xdr:col>
      <xdr:colOff>66261</xdr:colOff>
      <xdr:row>59</xdr:row>
      <xdr:rowOff>82825</xdr:rowOff>
    </xdr:from>
    <xdr:to>
      <xdr:col>50</xdr:col>
      <xdr:colOff>430696</xdr:colOff>
      <xdr:row>82</xdr:row>
      <xdr:rowOff>115957</xdr:rowOff>
    </xdr:to>
    <xdr:graphicFrame macro="">
      <xdr:nvGraphicFramePr>
        <xdr:cNvPr id="3" name="Chart 7">
          <a:extLst>
            <a:ext uri="{FF2B5EF4-FFF2-40B4-BE49-F238E27FC236}">
              <a16:creationId xmlns:a16="http://schemas.microsoft.com/office/drawing/2014/main" id="{131DFCA6-02DA-4432-864C-C51315802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16565</xdr:colOff>
      <xdr:row>0</xdr:row>
      <xdr:rowOff>99391</xdr:rowOff>
    </xdr:from>
    <xdr:to>
      <xdr:col>50</xdr:col>
      <xdr:colOff>314739</xdr:colOff>
      <xdr:row>2</xdr:row>
      <xdr:rowOff>215348</xdr:rowOff>
    </xdr:to>
    <xdr:sp macro="" textlink="">
      <xdr:nvSpPr>
        <xdr:cNvPr id="4" name="Rectangle: Rounded Corners 3">
          <a:extLst>
            <a:ext uri="{FF2B5EF4-FFF2-40B4-BE49-F238E27FC236}">
              <a16:creationId xmlns:a16="http://schemas.microsoft.com/office/drawing/2014/main" id="{2ADBDA14-D066-6DCB-B6CB-E645DF0D7711}"/>
            </a:ext>
          </a:extLst>
        </xdr:cNvPr>
        <xdr:cNvSpPr/>
      </xdr:nvSpPr>
      <xdr:spPr>
        <a:xfrm>
          <a:off x="3081130" y="99391"/>
          <a:ext cx="27879261" cy="960783"/>
        </a:xfrm>
        <a:prstGeom prst="roundRect">
          <a:avLst/>
        </a:prstGeom>
        <a:solidFill>
          <a:schemeClr val="accent1">
            <a:lumMod val="75000"/>
          </a:schemeClr>
        </a:solidFill>
        <a:ln w="76200">
          <a:solidFill>
            <a:srgbClr val="C00000"/>
          </a:solid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i="0" u="none" strike="noStrike">
              <a:solidFill>
                <a:schemeClr val="lt1"/>
              </a:solidFill>
              <a:effectLst/>
              <a:latin typeface="+mn-lt"/>
              <a:ea typeface="+mn-ea"/>
              <a:cs typeface="+mn-cs"/>
            </a:rPr>
            <a:t> </a:t>
          </a:r>
          <a:r>
            <a:rPr lang="en-US" sz="6000" b="1" i="0" u="none" strike="noStrike">
              <a:solidFill>
                <a:schemeClr val="bg2"/>
              </a:solidFill>
              <a:effectLst/>
              <a:latin typeface="+mn-lt"/>
              <a:ea typeface="+mn-ea"/>
              <a:cs typeface="+mn-cs"/>
            </a:rPr>
            <a:t>Dashboard Electric Vehicles</a:t>
          </a:r>
          <a:r>
            <a:rPr lang="en-US" sz="6000">
              <a:solidFill>
                <a:schemeClr val="bg2"/>
              </a:solidFill>
            </a:rPr>
            <a:t> </a:t>
          </a:r>
          <a:r>
            <a:rPr lang="en-US" sz="6000" b="0" i="0" u="none" strike="noStrike">
              <a:solidFill>
                <a:schemeClr val="bg2"/>
              </a:solidFill>
              <a:effectLst/>
              <a:latin typeface="+mn-lt"/>
              <a:ea typeface="+mn-ea"/>
              <a:cs typeface="+mn-cs"/>
            </a:rPr>
            <a:t> </a:t>
          </a:r>
          <a:r>
            <a:rPr lang="en-US" sz="6000">
              <a:solidFill>
                <a:schemeClr val="bg2"/>
              </a:solidFill>
            </a:rPr>
            <a:t> </a:t>
          </a:r>
          <a:endParaRPr lang="ru-RU" sz="1100">
            <a:solidFill>
              <a:schemeClr val="bg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1.813406944442" createdVersion="8" refreshedVersion="8" minRefreshableVersion="3" recordCount="478" xr:uid="{6911AEEC-E2F4-47BC-804C-D361D253AE6F}">
  <cacheSource type="worksheet">
    <worksheetSource name="electric_vehicles_spec_2025_csv"/>
  </cacheSource>
  <cacheFields count="28">
    <cacheField name="brand" numFmtId="0">
      <sharedItems count="59">
        <s v="Abarth"/>
        <s v="Aiways"/>
        <s v="Alfa"/>
        <s v="Alpine"/>
        <s v="Audi"/>
        <s v="BMW"/>
        <s v="BYD"/>
        <s v="CUPRA"/>
        <s v="Cadillac"/>
        <s v="Citroen"/>
        <s v="DS"/>
        <s v="Dacia"/>
        <s v="Dongfeng"/>
        <s v="Elaris"/>
        <s v="Fiat"/>
        <s v="Ford"/>
        <s v="GWM"/>
        <s v="Genesis"/>
        <s v="Honda"/>
        <s v="Hongqi"/>
        <s v="Hyundai"/>
        <s v="Jaguar"/>
        <s v="Jeep"/>
        <s v="KGM"/>
        <s v="Kia"/>
        <s v="Lancia"/>
        <s v="Leapmotor"/>
        <s v="Lexus"/>
        <s v="Lotus"/>
        <s v="Lucid"/>
        <s v="Lynk&amp;Co"/>
        <s v="MG"/>
        <s v="Maserati"/>
        <s v="Maxus"/>
        <s v="Mazda"/>
        <s v="Mercedes-Benz"/>
        <s v="Mini"/>
        <s v="NIO"/>
        <s v="Nissan"/>
        <s v="Omoda"/>
        <s v="Opel"/>
        <s v="Peugeot"/>
        <s v="Polestar"/>
        <s v="Porsche"/>
        <s v="Renault"/>
        <s v="Rolls-Royce"/>
        <s v="Skoda"/>
        <s v="Skywell"/>
        <s v="Smart"/>
        <s v="Subaru"/>
        <s v="Tesla"/>
        <s v="Toyota"/>
        <s v="VinFast"/>
        <s v="Volkswagen"/>
        <s v="Volvo"/>
        <s v="Voyah"/>
        <s v="XPENG"/>
        <s v="Zeekr"/>
        <s v="firefly"/>
      </sharedItems>
    </cacheField>
    <cacheField name="model" numFmtId="0">
      <sharedItems count="478">
        <s v="500e Convertible"/>
        <s v="500e Hatchback"/>
        <s v="600e Scorpionissima"/>
        <s v="600e Turismo"/>
        <s v="U5"/>
        <s v="U6"/>
        <s v="Romeo Junior Elettrica 54 kWh"/>
        <s v="Romeo Junior Elettrica 54 kWh Veloce"/>
        <s v="A290 Electric 180 hp"/>
        <s v="A290 Electric 220 hp"/>
        <s v="A6 Avant e-tron"/>
        <s v="A6 Avant e-tron performance"/>
        <s v="A6 Avant e-tron quattro"/>
        <s v="A6 Sportback e-tron"/>
        <s v="A6 Sportback e-tron performance"/>
        <s v="A6 Sportback e-tron quattro"/>
        <s v="Q4 Sportback e-tron 40"/>
        <s v="Q4 Sportback e-tron 45"/>
        <s v="Q4 Sportback e-tron 45 quattro"/>
        <s v="Q4 Sportback e-tron 55 quattro"/>
        <s v="Q4 e-tron 40"/>
        <s v="Q4 e-tron 45"/>
        <s v="Q4 e-tron 45 quattro"/>
        <s v="Q4 e-tron 55 quattro"/>
        <s v="Q6 e-tron"/>
        <s v="Q6 e-tron Sportback"/>
        <s v="Q6 e-tron Sportback performance"/>
        <s v="Q6 e-tron Sportback quattro"/>
        <s v="Q6 e-tron performance"/>
        <s v="Q6 e-tron quattro"/>
        <s v="S6 Avant e-tron"/>
        <s v="S6 Sportback e-tron"/>
        <s v="SQ6 e-tron"/>
        <s v="SQ6 e-tron Sportback"/>
        <s v="e-tron GT RS"/>
        <s v="e-tron GT RS performance"/>
        <s v="e-tron GT S"/>
        <s v="e-tron GT quattro"/>
        <s v="i4 M50"/>
        <s v="i4 eDrive35"/>
        <s v="i4 eDrive40"/>
        <s v="i4 xDrive40"/>
        <s v="i5 M60 xDrive Sedan (MY25)"/>
        <s v="i5 M60 xDrive Touring (MY25)"/>
        <s v="i5 eDrive40 Sedan (MY25)"/>
        <s v="i5 eDrive40 Touring (MY25)"/>
        <s v="i5 xDrive40 Sedan (MY25)"/>
        <s v="i5 xDrive40 Touring (MY25)"/>
        <s v="i7 M70 xDrive"/>
        <s v="i7 eDrive50"/>
        <s v="i7 xDrive60"/>
        <s v="iX M70 xDrive"/>
        <s v="iX xDrive45"/>
        <s v="iX xDrive60"/>
        <s v="iX1 eDrive20"/>
        <s v="iX1 xDrive30"/>
        <s v="iX2 eDrive20"/>
        <s v="iX2 xDrive30"/>
        <s v="ATTO 2"/>
        <s v="ATTO 3 (MY25)"/>
        <s v="DOLPHIN 44.9 kWh Active"/>
        <s v="DOLPHIN 44.9 kWh Boost"/>
        <s v="DOLPHIN 60.4 kWh"/>
        <s v="DOLPHIN SURF 30 kWh Active"/>
        <s v="DOLPHIN SURF 43.2 kWh Boost"/>
        <s v="DOLPHIN SURF 43.2 kWh Comfort"/>
        <s v="SEAL 61.4 kWh RWD Comfort"/>
        <s v="SEAL 82.5 kWh AWD Excellence"/>
        <s v="SEAL 82.5 kWh RWD Design"/>
        <s v="SEAL U 71.8 kWh Comfort"/>
        <s v="SEAL U 87 kWh Design"/>
        <s v="SEALION 7 82.5 kWh AWD Design"/>
        <s v="SEALION 7 82.5 kWh RWD Comfort"/>
        <s v="SEALION 7 91.3 kWh AWD Excellence"/>
        <s v="TANG Flagship"/>
        <s v="Born 170 kW - 59 kWh"/>
        <s v="Born 170 kW - 77 kWh"/>
        <s v="Born VZ"/>
        <s v="Tavascan Endurance"/>
        <s v="Tavascan VZ"/>
        <s v="Lyriq 600 E4"/>
        <s v="e-Berlingo M 50 kWh"/>
        <s v="e-Berlingo XL 50 kWh"/>
        <s v="e-C3"/>
        <s v="e-C3 Aircross"/>
        <s v="e-C4"/>
        <s v="e-C4 54 kWh"/>
        <s v="e-C4 X"/>
        <s v="e-C4 X 54 kWh"/>
        <s v="e-SpaceTourer M 50 kWh"/>
        <s v="e-SpaceTourer M 75 kWh"/>
        <s v="e-SpaceTourer XL 50 kWh"/>
        <s v="e-SpaceTourer XL 75 kWh"/>
        <s v="3 E-Tense"/>
        <s v="N°4 E-Tense"/>
        <s v="N°8 AWD Long Range"/>
        <s v="N°8 FWD"/>
        <s v="N°8 FWD Long Range"/>
        <s v="Spring Electric 45"/>
        <s v="Spring Electric 65"/>
        <s v="Box 31.4 kWh"/>
        <s v="Box 42.3 kWh"/>
        <s v="BEO 86 kWh"/>
        <s v="500e 3+1 24 kWh"/>
        <s v="500e 3+1 42 kWh"/>
        <s v="500e Cabrio 24 kWh"/>
        <s v="500e Cabrio 42 kWh"/>
        <s v="500e Hatchback 24 kWh"/>
        <s v="500e Hatchback 42 kWh"/>
        <s v="600e"/>
        <s v="Grande Panda"/>
        <s v="Capri Extended Range AWD"/>
        <s v="Capri Extended Range RWD"/>
        <s v="Capri Standard Range RWD"/>
        <s v="Explorer Extended Range AWD"/>
        <s v="Explorer Extended Range RWD"/>
        <s v="Explorer Standard Range RWD"/>
        <s v="Mustang Mach-E ER AWD (MY25)"/>
        <s v="Mustang Mach-E ER AWD (MY24)"/>
        <s v="Mustang Mach-E ER RWD (MY25)"/>
        <s v="Mustang Mach-E ER RWD (MY24)"/>
        <s v="Mustang Mach-E GT (MY24)"/>
        <s v="Mustang Mach-E GT (MY25)"/>
        <s v="Mustang Mach-E Rally (MY25)"/>
        <s v="Mustang Mach-E Rally (MY24)"/>
        <s v="Mustang Mach-E SR RWD (MY24)"/>
        <s v="Mustang Mach-E SR RWD (MY25)"/>
        <s v="Puma Gen-E"/>
        <s v="e-Tourneo Courier"/>
        <s v="e-Tourneo Custom L1 160 kW"/>
        <s v="e-Tourneo Custom L1 210 kW"/>
        <s v="e-Tourneo Custom L2 160 kW"/>
        <s v="e-Tourneo Custom L2 210 kW"/>
        <s v="ORA 03 48 kWh"/>
        <s v="ORA 03 63 kWh"/>
        <s v="ORA 03 GT"/>
        <s v="ORA 07 GT"/>
        <s v="ORA 07 Pro"/>
        <s v="ORA 07 Pure"/>
        <s v="G80 Electrified Luxury"/>
        <s v="GV60 Premium"/>
        <s v="GV60 Sport"/>
        <s v="GV60 Sport Plus"/>
        <s v="GV70 Electrified Sport"/>
        <s v="e:Ny1"/>
        <s v="E-HS9 120 kWh"/>
        <s v="E-HS9 84 kWh"/>
        <s v="E-HS9 99 kWh"/>
        <s v="INSTER Long Range"/>
        <s v="INSTER Standard Range"/>
        <s v="IONIQ 5 63 kWh RWD (MY24)"/>
        <s v="IONIQ 5 84 kWh AWD (MY24)"/>
        <s v="IONIQ 5 84 kWh RWD (MY24)"/>
        <s v="IONIQ 5 N (MY24)"/>
        <s v="IONIQ 6 Long Range 2WD"/>
        <s v="IONIQ 6 Long Range AWD"/>
        <s v="IONIQ 6 Standard Range 2WD"/>
        <s v="IONIQ 9 Long Range AWD"/>
        <s v="IONIQ 9 Long Range RWD"/>
        <s v="IONIQ 9 Performance AWD"/>
        <s v="Kona Electric 48 kWh"/>
        <s v="Kona Electric 65 kWh"/>
        <s v="I-Pace EV400"/>
        <s v="Avenger Electric"/>
        <s v="Compass Electric 74 kWh"/>
        <s v="Torres EVX"/>
        <s v="EV3 Long Range"/>
        <s v="EV3 Standard Range"/>
        <s v="EV4 Hatchback Long Range"/>
        <s v="EV4 Hatchback Standard Range"/>
        <s v="EV4 Sedan Long Range"/>
        <s v="EV4 Sedan Standard Range"/>
        <s v="EV6 GT"/>
        <s v="EV6 Long Range 2WD"/>
        <s v="EV6 Long Range AWD"/>
        <s v="EV6 Standard Range 2WD"/>
        <s v="EV9 76.1 kWh RWD"/>
        <s v="EV9 99.8 kWh AWD"/>
        <s v="EV9 99.8 kWh AWD GT"/>
        <s v="EV9 99.8 kWh AWD GT-Line"/>
        <s v="EV9 99.8 kWh RWD"/>
        <s v="Niro EV"/>
        <s v="Ypsilon"/>
        <s v="C10"/>
        <s v="T03"/>
        <s v="RZ 300e"/>
        <s v="RZ 450e"/>
        <s v="UX 300e"/>
        <s v="Eletre"/>
        <s v="Eletre R"/>
        <s v="Eletre S"/>
        <s v="Emeya"/>
        <s v="Emeya R"/>
        <s v="Emeya S"/>
        <s v="Air Grand Touring"/>
        <s v="Air Pure RWD"/>
        <s v="Air Touring"/>
        <s v="02"/>
        <s v="Cyberster GT"/>
        <s v="Cyberster Trophy"/>
        <s v="4 Electric 51 kWh"/>
        <s v="4 Electric 64 kWh"/>
        <s v="4 Electric 77 kWh"/>
        <s v="4 Electric XPOWER"/>
        <s v="5 Electric Long Range"/>
        <s v="5 Electric Standard Range"/>
        <s v="S5  EV 49 kWh"/>
        <s v="S5  EV 64 kWh"/>
        <s v="ZS EV Long Range"/>
        <s v="ZS EV Standard Range"/>
        <s v="GranCabrio Folgore"/>
        <s v="GranTurismo Folgore"/>
        <s v="Grecale Folgore"/>
        <s v="MIFA 9"/>
        <s v="6e 68.8 kWh"/>
        <s v="6e Long Range 80 kWh"/>
        <s v="CLA 250+"/>
        <s v="CLA 350 4MATIC"/>
        <s v="EQA 250"/>
        <s v="EQA 250+"/>
        <s v="EQA 300 4MATIC"/>
        <s v="EQA 350 4MATIC"/>
        <s v="EQB 250+"/>
        <s v="EQB 300 4MATIC"/>
        <s v="EQB 350 4MATIC"/>
        <s v="EQE 300"/>
        <s v="EQE 350 4MATIC"/>
        <s v="EQE 350+"/>
        <s v="EQE 500 4MATIC"/>
        <s v="EQE AMG 43 4MATIC"/>
        <s v="EQE AMG 53 4MATIC+"/>
        <s v="EQE SUV 300"/>
        <s v="EQE SUV 350 4MATIC"/>
        <s v="EQE SUV 350+"/>
        <s v="EQE SUV 500 4MATIC"/>
        <s v="EQE SUV AMG 43 4MATIC"/>
        <s v="EQE SUV AMG 53 4MATIC+"/>
        <s v="EQS 350"/>
        <s v="EQS 450 4MATIC"/>
        <s v="EQS 450+"/>
        <s v="EQS 500 4MATIC"/>
        <s v="EQS 580 4MATIC"/>
        <s v="EQS AMG 53 4MATIC+"/>
        <s v="EQS SUV 450 4MATIC"/>
        <s v="EQS SUV 450+"/>
        <s v="EQS SUV 500 4MATIC"/>
        <s v="EQS SUV 580 4MATIC"/>
        <s v="EQS SUV Maybach 680"/>
        <s v="EQT 200 Long"/>
        <s v="EQT 200 Standard"/>
        <s v="EQV 250 Extra-Long"/>
        <s v="EQV 250 Long"/>
        <s v="EQV 300 Extra-Long"/>
        <s v="EQV 300 Long"/>
        <s v="G 580"/>
        <s v="eVito Tourer Extra-Long 60 kWh"/>
        <s v="eVito Tourer Long 60 kWh"/>
        <s v="eVito Tourer Long 90 kWh"/>
        <s v="Aceman E"/>
        <s v="Aceman JCW"/>
        <s v="Aceman SE"/>
        <s v="Cooper E"/>
        <s v="Cooper JCW"/>
        <s v="Cooper SE"/>
        <s v="Countryman E"/>
        <s v="Countryman SE ALL4"/>
        <s v="EL6 Long Range"/>
        <s v="EL6 Standard Range"/>
        <s v="EL7 Long Range"/>
        <s v="EL7 Standard Range"/>
        <s v="EL8 Long Range"/>
        <s v="EL8 Standard Range"/>
        <s v="ET5 Long Range"/>
        <s v="ET5 Standard Range"/>
        <s v="ET5 Touring Long Range"/>
        <s v="ET5 Touring Standard Range"/>
        <s v="ET7 Long Range"/>
        <s v="ET7 Standard Range"/>
        <s v="Ariya 63kWh"/>
        <s v="Ariya 87kWh"/>
        <s v="Ariya e-4ORCE 87kWh - 225 kW"/>
        <s v="Ariya e-4ORCE 87kWh - 320 kW Nismo"/>
        <s v="Townstar EV Passenger"/>
        <s v="Townstar EV Passenger L2"/>
        <s v="E5"/>
        <s v="Astra Electric"/>
        <s v="Astra Sports Tourer Electric"/>
        <s v="Combo-e Life 50 kWh"/>
        <s v="Combo-e Life XL 50 kWh"/>
        <s v="Corsa Electric 50 kWh"/>
        <s v="Corsa Electric 51 kWh"/>
        <s v="Frontera 44 kWh"/>
        <s v="Grandland 73 kWh"/>
        <s v="Grandland 82 kWh"/>
        <s v="Mokka Electric"/>
        <s v="Zafira-e Life L2 50 kWh"/>
        <s v="Zafira-e Life L2 75 kWh"/>
        <s v="Zafira-e Life L3 50 kWh"/>
        <s v="Zafira-e Life L3 75 kWh"/>
        <s v="e-2008 50 kWh"/>
        <s v="e-2008 54 kWh"/>
        <s v="e-208 50 kWh"/>
        <s v="e-208 51 kWh"/>
        <s v="e-3008 73 kWh"/>
        <s v="e-3008 73 kWh Dual Motor"/>
        <s v="e-3008 97 kWh Long Range"/>
        <s v="e-308"/>
        <s v="e-308 SW"/>
        <s v="e-408 58 kWh"/>
        <s v="e-5008 73 kWh"/>
        <s v="e-5008 73 kWh Dual Motor"/>
        <s v="e-5008 97 kWh Long Range"/>
        <s v="e-Rifter M 50 kWh"/>
        <s v="e-Rifter XL 50 kWh"/>
        <s v="e-Traveller L2 50 kWh"/>
        <s v="e-Traveller L2 75 kWh"/>
        <s v="e-Traveller L3 50 kWh"/>
        <s v="e-Traveller L3 75 kWh"/>
        <s v="2 Long Range Dual Motor (MY26)"/>
        <s v="2 Long Range Performance (MY26)"/>
        <s v="2 Long Range Single Motor (MY26)"/>
        <s v="2 Standard Range Single Motor (MY26)"/>
        <s v="3 Long Range Dual motor"/>
        <s v="3 Long Range Performance"/>
        <s v="3 Long Range Single motor"/>
        <s v="4 Long Range Dual Motor"/>
        <s v="4 Long Range Single Motor"/>
        <s v="Macan 4 Electric"/>
        <s v="Macan 4S Electric"/>
        <s v="Macan Electric"/>
        <s v="Macan Turbo Electric"/>
        <s v="Taycan"/>
        <s v="Taycan 4"/>
        <s v="Taycan 4 Cross Turismo"/>
        <s v="Taycan 4 Plus"/>
        <s v="Taycan 4S"/>
        <s v="Taycan 4S Cross Turismo"/>
        <s v="Taycan 4S Plus"/>
        <s v="Taycan 4S Plus Sport Turismo"/>
        <s v="Taycan 4S Sport Turismo"/>
        <s v="Taycan GTS"/>
        <s v="Taycan GTS Sport Turismo"/>
        <s v="Taycan Plus"/>
        <s v="Taycan Plus Sport Turismo"/>
        <s v="Taycan Sport Turismo"/>
        <s v="Taycan Turbo"/>
        <s v="Taycan Turbo Cross Turismo"/>
        <s v="Taycan Turbo GT"/>
        <s v="Taycan Turbo GT Weissach"/>
        <s v="Taycan Turbo S"/>
        <s v="Taycan Turbo S Cross Turismo"/>
        <s v="Taycan Turbo S Sport Turismo"/>
        <s v="Taycan Turbo Sport Turismo"/>
        <s v="4 E-Tech 40kWh 120hp"/>
        <s v="4 E-Tech 52kWh 150hp"/>
        <s v="5 E-Tech 40kWh 120hp"/>
        <s v="5 E-Tech 40kWh 95hp"/>
        <s v="5 E-Tech 52kWh 150hp"/>
        <s v="Kangoo E-Tech Electric"/>
        <s v="Kangoo Grand E-Tech Electric"/>
        <s v="Megane E-Tech EV60 130hp (TU2025)"/>
        <s v="Megane E-Tech EV60 220hp (TU2025)"/>
        <s v="Scenic E-Tech EV60 170hp"/>
        <s v="Scenic E-Tech EV87 220hp"/>
        <s v="Spectre"/>
        <s v="Elroq 50"/>
        <s v="Elroq 60"/>
        <s v="Elroq 85"/>
        <s v="Elroq RS"/>
        <s v="Enyaq 60"/>
        <s v="Enyaq 85"/>
        <s v="Enyaq 85x"/>
        <s v="Enyaq Coupe 60"/>
        <s v="Enyaq Coupe 85"/>
        <s v="Enyaq Coupe 85x"/>
        <s v="Enyaq Coupe RS"/>
        <s v="Enyaq RS"/>
        <s v="BE11 Long Range"/>
        <s v="BE11 Standard Range"/>
        <s v="#1 Brabus"/>
        <s v="#1 Premium"/>
        <s v="#1 Pro"/>
        <s v="#1 Pro+"/>
        <s v="#1 Pulse"/>
        <s v="#1 Pure"/>
        <s v="#1 Pure+"/>
        <s v="#3 Brabus"/>
        <s v="#3 Premium"/>
        <s v="#3 Pro"/>
        <s v="#3 Pro+"/>
        <s v="#5 Brabus"/>
        <s v="#5 Premium"/>
        <s v="#5 Pro"/>
        <s v="#5 Pro+"/>
        <s v="#5 Pulse"/>
        <s v="#5 Summit Edition"/>
        <s v="Solterra AWD"/>
        <s v="Model 3 Long Range AWD (Highland)"/>
        <s v="Model 3 Long Range RWD (Highland)"/>
        <s v="Model 3 Performance (Highland)"/>
        <s v="Model 3 RWD (Highland CATL LFP64)"/>
        <s v="Model S Dual Motor"/>
        <s v="Model S Plaid"/>
        <s v="Model X Dual Motor"/>
        <s v="Model X Plaid"/>
        <s v="Model Y Long Range AWD (Juniper)"/>
        <s v="Model Y Long Range RWD (Juniper)"/>
        <s v="Model Y RWD (Juniper)"/>
        <s v="PROACE Verso L 75 kWh"/>
        <s v="PROACE Verso M 50 kWh"/>
        <s v="PROACE Verso M 75 kWh"/>
        <s v="Proace City Verso Electric L1 50 kWh"/>
        <s v="Proace City Verso Electric L2 50 kWh"/>
        <s v="bZ4X AWD"/>
        <s v="bZ4X FWD"/>
        <s v="VF 8 Eco Extended Range"/>
        <s v="VF 8 Plus Extended Range"/>
        <s v="ID. Buzz LWB GTX"/>
        <s v="ID. Buzz LWB Pro"/>
        <s v="ID. Buzz NWB GTX"/>
        <s v="ID. Buzz NWB Pro"/>
        <s v="ID. Buzz NWB Pure"/>
        <s v="ID.3 GTX"/>
        <s v="ID.3 GTX Performance"/>
        <s v="ID.3 Pro"/>
        <s v="ID.3 Pro S"/>
        <s v="ID.3 Pure"/>
        <s v="ID.4 GTX"/>
        <s v="ID.4 Pro"/>
        <s v="ID.4 Pro 4MOTION"/>
        <s v="ID.4 Pure"/>
        <s v="ID.5 GTX"/>
        <s v="ID.5 Pro"/>
        <s v="ID.5 Pure"/>
        <s v="ID.7 GTX"/>
        <s v="ID.7 Pro"/>
        <s v="ID.7 Pro S"/>
        <s v="ID.7 Tourer GTX"/>
        <s v="ID.7 Tourer Pro"/>
        <s v="ID.7 Tourer Pro S"/>
        <s v="EC40 Single Motor (MY26)"/>
        <s v="EC40 Single Motor ER (MY26)"/>
        <s v="EC40 Twin Motor (MY26)"/>
        <s v="EC40 Twin Motor Performance (MY26)"/>
        <s v="ES90 Single Motor (MY26)"/>
        <s v="ES90 Twin Motor (MY26)"/>
        <s v="ES90 Twin Motor Performance (MY26)"/>
        <s v="EX30 Cross Country (MY26)"/>
        <s v="EX30 Single Motor (MY24-26)"/>
        <s v="EX30 Single Motor ER (MY24-26)"/>
        <s v="EX30 Twin Motor Performance (MY24-26)"/>
        <s v="EX40 Single Motor (MY26)"/>
        <s v="EX40 Single Motor ER (MY26)"/>
        <s v="EX40 Twin Motor (MY26)"/>
        <s v="EX40 Twin Motor Performance (MY26)"/>
        <s v="EX90 Single Motor (MY24-26)"/>
        <s v="EX90 Twin Motor (MY24-26)"/>
        <s v="EX90 Twin Motor Performance (MY24-26)"/>
        <s v="Free 106 kWh"/>
        <s v="G6 AWD Performance"/>
        <s v="G6 RWD Long Range"/>
        <s v="G6 RWD Standard Range"/>
        <s v="G9 AWD Performance"/>
        <s v="G9 RWD Long Range"/>
        <s v="G9 RWD Standard Range"/>
        <s v="P7 AWD Performance"/>
        <s v="P7 RWD Long Range"/>
        <s v="P7 Wing Edition"/>
        <s v="001 Long Range RWD"/>
        <s v="001 Performance AWD"/>
        <s v="001 Privilege AWD"/>
        <s v="7X Long Range RWD"/>
        <s v="7X Performance AWD"/>
        <s v="7X Premium RWD"/>
        <s v="X Core RWD (MY25)"/>
        <s v="X Long Range RWD (MY25)"/>
        <s v="X Privilege AWD (MY25)"/>
        <s v=""/>
      </sharedItems>
    </cacheField>
    <cacheField name="top_speed_kmh" numFmtId="0">
      <sharedItems containsSemiMixedTypes="0" containsString="0" containsNumber="1" containsInteger="1" minValue="125" maxValue="325"/>
    </cacheField>
    <cacheField name="top_speed_group" numFmtId="0">
      <sharedItems count="8">
        <s v="150–174 km/h"/>
        <s v="200–224 km/h"/>
        <s v="175–199 km/h"/>
        <s v="225–249 km/h"/>
        <s v="250–274 km/h"/>
        <s v="125–149 km/h"/>
        <s v="275–299 km/h"/>
        <s v="300–325 km/h"/>
      </sharedItems>
    </cacheField>
    <cacheField name="battery_capacity_kWh" numFmtId="0">
      <sharedItems containsSemiMixedTypes="0" containsString="0" containsNumber="1" minValue="21.3" maxValue="118"/>
    </cacheField>
    <cacheField name="battery_capacity_group" numFmtId="0">
      <sharedItems/>
    </cacheField>
    <cacheField name="battery_type" numFmtId="0">
      <sharedItems/>
    </cacheField>
    <cacheField name="number_of_cells" numFmtId="0">
      <sharedItems containsString="0" containsBlank="1" containsNumber="1" containsInteger="1" minValue="72" maxValue="7920"/>
    </cacheField>
    <cacheField name="torque_nm" numFmtId="0">
      <sharedItems containsString="0" containsBlank="1" containsNumber="1" containsInteger="1" minValue="113" maxValue="1350"/>
    </cacheField>
    <cacheField name="efficiency_wh_per_km" numFmtId="0">
      <sharedItems containsSemiMixedTypes="0" containsString="0" containsNumber="1" containsInteger="1" minValue="109" maxValue="370"/>
    </cacheField>
    <cacheField name="Efficiency Category" numFmtId="0">
      <sharedItems count="3">
        <s v="131–160 Wh/km"/>
        <s v="0–130 Wh/km"/>
        <s v="161+ Wh/km"/>
      </sharedItems>
    </cacheField>
    <cacheField name="range_km" numFmtId="0">
      <sharedItems containsSemiMixedTypes="0" containsString="0" containsNumber="1" containsInteger="1" minValue="135" maxValue="685"/>
    </cacheField>
    <cacheField name="range_km_category" numFmtId="0">
      <sharedItems containsBlank="1" count="5">
        <s v="201–400 km"/>
        <s v="401+ km"/>
        <s v="0–200 km"/>
        <s v=" "/>
        <m/>
      </sharedItems>
    </cacheField>
    <cacheField name="acceleration_0_100_s" numFmtId="0">
      <sharedItems containsSemiMixedTypes="0" containsString="0" containsNumber="1" minValue="2.2000000000000002" maxValue="19.100000000000001"/>
    </cacheField>
    <cacheField name="acceleration_group" numFmtId="0">
      <sharedItems/>
    </cacheField>
    <cacheField name="fast_charging_power_kw_dc" numFmtId="0">
      <sharedItems containsString="0" containsBlank="1" containsNumber="1" containsInteger="1" minValue="29" maxValue="281"/>
    </cacheField>
    <cacheField name="fast_charging_group" numFmtId="0">
      <sharedItems count="4">
        <s v="50–99 kW"/>
        <s v="150+ kW"/>
        <s v="100–149 kW"/>
        <s v="0–49 kW"/>
      </sharedItems>
    </cacheField>
    <cacheField name="fast_charge_port" numFmtId="0">
      <sharedItems/>
    </cacheField>
    <cacheField name="towing_capacity_kg" numFmtId="0">
      <sharedItems containsString="0" containsBlank="1" containsNumber="1" containsInteger="1" minValue="0" maxValue="2500"/>
    </cacheField>
    <cacheField name="cargo_volume_l" numFmtId="0">
      <sharedItems/>
    </cacheField>
    <cacheField name="seats" numFmtId="0">
      <sharedItems containsSemiMixedTypes="0" containsString="0" containsNumber="1" containsInteger="1" minValue="2" maxValue="9"/>
    </cacheField>
    <cacheField name="drivetrain" numFmtId="0">
      <sharedItems/>
    </cacheField>
    <cacheField name="segment" numFmtId="0">
      <sharedItems/>
    </cacheField>
    <cacheField name="length_mm" numFmtId="0">
      <sharedItems containsSemiMixedTypes="0" containsString="0" containsNumber="1" containsInteger="1" minValue="3620" maxValue="5908"/>
    </cacheField>
    <cacheField name="width_mm" numFmtId="0">
      <sharedItems containsSemiMixedTypes="0" containsString="0" containsNumber="1" containsInteger="1" minValue="1610" maxValue="2080"/>
    </cacheField>
    <cacheField name="height_mm" numFmtId="0">
      <sharedItems containsSemiMixedTypes="0" containsString="0" containsNumber="1" containsInteger="1" minValue="1329" maxValue="1986"/>
    </cacheField>
    <cacheField name="car_body_type" numFmtId="0">
      <sharedItems count="8">
        <s v="Hatchback"/>
        <s v="SUV"/>
        <s v="Station/Estate"/>
        <s v="Liftback Sedan"/>
        <s v="Sedan"/>
        <s v="Small Passenger Van"/>
        <s v="Cabriolet"/>
        <s v="Coupe"/>
      </sharedItems>
    </cacheField>
    <cacheField name="source_url" numFmtId="0">
      <sharedItems/>
    </cacheField>
  </cacheFields>
  <extLst>
    <ext xmlns:x14="http://schemas.microsoft.com/office/spreadsheetml/2009/9/main" uri="{725AE2AE-9491-48be-B2B4-4EB974FC3084}">
      <x14:pivotCacheDefinition pivotCacheId="11936881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x v="0"/>
    <x v="0"/>
    <n v="155"/>
    <x v="0"/>
    <n v="37.799999999999997"/>
    <s v="31–60 kWh"/>
    <s v="Lithium-ion"/>
    <n v="192"/>
    <n v="235"/>
    <n v="156"/>
    <x v="0"/>
    <n v="225"/>
    <x v="0"/>
    <n v="7"/>
    <s v="6.0–7.9 s"/>
    <n v="67"/>
    <x v="0"/>
    <s v="CCS"/>
    <n v="0"/>
    <s v="185"/>
    <n v="4"/>
    <s v="FWD"/>
    <s v="B - Compact"/>
    <n v="3673"/>
    <n v="1683"/>
    <n v="1518"/>
    <x v="0"/>
    <s v="https://ev-database.org/car/1904/Abarth-500e-Convertible"/>
  </r>
  <r>
    <x v="0"/>
    <x v="1"/>
    <n v="155"/>
    <x v="0"/>
    <n v="37.799999999999997"/>
    <s v="31–60 kWh"/>
    <s v="Lithium-ion"/>
    <n v="192"/>
    <n v="235"/>
    <n v="149"/>
    <x v="0"/>
    <n v="225"/>
    <x v="0"/>
    <n v="7"/>
    <s v="6.0–7.9 s"/>
    <n v="67"/>
    <x v="0"/>
    <s v="CCS"/>
    <n v="0"/>
    <s v="185"/>
    <n v="4"/>
    <s v="FWD"/>
    <s v="B - Compact"/>
    <n v="3673"/>
    <n v="1683"/>
    <n v="1518"/>
    <x v="0"/>
    <s v="https://ev-database.org/car/1903/Abarth-500e-Hatchback"/>
  </r>
  <r>
    <x v="0"/>
    <x v="2"/>
    <n v="200"/>
    <x v="1"/>
    <n v="50.8"/>
    <s v="31–60 kWh"/>
    <s v="Lithium-ion"/>
    <n v="102"/>
    <n v="345"/>
    <n v="158"/>
    <x v="0"/>
    <n v="280"/>
    <x v="0"/>
    <n v="5.9"/>
    <s v="4.0–5.9 s"/>
    <n v="79"/>
    <x v="0"/>
    <s v="CCS"/>
    <n v="0"/>
    <s v="360"/>
    <n v="5"/>
    <s v="FWD"/>
    <s v="JB - Compact"/>
    <n v="4187"/>
    <n v="1779"/>
    <n v="1557"/>
    <x v="1"/>
    <s v="https://ev-database.org/car/3057/Abarth-600e-Scorpionissima"/>
  </r>
  <r>
    <x v="0"/>
    <x v="3"/>
    <n v="200"/>
    <x v="1"/>
    <n v="50.8"/>
    <s v="31–60 kWh"/>
    <s v="Lithium-ion"/>
    <n v="102"/>
    <n v="345"/>
    <n v="158"/>
    <x v="0"/>
    <n v="280"/>
    <x v="0"/>
    <n v="6.2"/>
    <s v="6.0–7.9 s"/>
    <n v="79"/>
    <x v="0"/>
    <s v="CCS"/>
    <n v="0"/>
    <s v="360"/>
    <n v="5"/>
    <s v="FWD"/>
    <s v="JB - Compact"/>
    <n v="4187"/>
    <n v="1779"/>
    <n v="1557"/>
    <x v="1"/>
    <s v="https://ev-database.org/car/3056/Abarth-600e-Turismo"/>
  </r>
  <r>
    <x v="1"/>
    <x v="4"/>
    <n v="150"/>
    <x v="0"/>
    <n v="60"/>
    <s v="31–60 kWh"/>
    <s v="Lithium-ion"/>
    <m/>
    <n v="310"/>
    <n v="156"/>
    <x v="0"/>
    <n v="315"/>
    <x v="0"/>
    <n v="7.5"/>
    <s v="6.0–7.9 s"/>
    <n v="78"/>
    <x v="0"/>
    <s v="CCS"/>
    <m/>
    <s v="496"/>
    <n v="5"/>
    <s v="FWD"/>
    <s v="JC - Medium"/>
    <n v="4680"/>
    <n v="1865"/>
    <n v="1700"/>
    <x v="1"/>
    <s v="https://ev-database.org/car/1678/Aiways-U5"/>
  </r>
  <r>
    <x v="1"/>
    <x v="5"/>
    <n v="160"/>
    <x v="0"/>
    <n v="60"/>
    <s v="31–60 kWh"/>
    <s v="Lithium-ion"/>
    <m/>
    <n v="315"/>
    <n v="150"/>
    <x v="0"/>
    <n v="350"/>
    <x v="0"/>
    <n v="7"/>
    <s v="6.0–7.9 s"/>
    <n v="78"/>
    <x v="0"/>
    <s v="CCS"/>
    <m/>
    <s v="472"/>
    <n v="5"/>
    <s v="FWD"/>
    <s v="JC - Medium"/>
    <n v="4805"/>
    <n v="1880"/>
    <n v="1641"/>
    <x v="1"/>
    <s v="https://ev-database.org/car/1766/Aiways-U6"/>
  </r>
  <r>
    <x v="2"/>
    <x v="6"/>
    <n v="150"/>
    <x v="0"/>
    <n v="50.8"/>
    <s v="31–60 kWh"/>
    <s v="Lithium-ion"/>
    <n v="102"/>
    <n v="260"/>
    <n v="128"/>
    <x v="1"/>
    <n v="320"/>
    <x v="0"/>
    <n v="9"/>
    <s v="8.0+ s"/>
    <n v="85"/>
    <x v="0"/>
    <s v="CCS"/>
    <n v="0"/>
    <s v="400"/>
    <n v="5"/>
    <s v="FWD"/>
    <s v="JB - Compact"/>
    <n v="4173"/>
    <n v="1781"/>
    <n v="1532"/>
    <x v="1"/>
    <s v="https://ev-database.org/car/2184/Alfa-Romeo-Junior-Elettrica-54-kWh"/>
  </r>
  <r>
    <x v="2"/>
    <x v="7"/>
    <n v="200"/>
    <x v="1"/>
    <n v="50.8"/>
    <s v="31–60 kWh"/>
    <s v="Lithium-ion"/>
    <n v="102"/>
    <n v="345"/>
    <n v="164"/>
    <x v="2"/>
    <n v="310"/>
    <x v="0"/>
    <n v="6"/>
    <s v="6.0–7.9 s"/>
    <n v="85"/>
    <x v="0"/>
    <s v="CCS"/>
    <n v="0"/>
    <s v="400"/>
    <n v="5"/>
    <s v="FWD"/>
    <s v="JB - Compact"/>
    <n v="4173"/>
    <n v="1781"/>
    <n v="1505"/>
    <x v="1"/>
    <s v="https://ev-database.org/car/2185/Alfa-Romeo-Junior-Elettrica-54-kWh-Veloce"/>
  </r>
  <r>
    <x v="3"/>
    <x v="8"/>
    <n v="160"/>
    <x v="0"/>
    <n v="52"/>
    <s v="31–60 kWh"/>
    <s v="Lithium-ion"/>
    <n v="184"/>
    <n v="285"/>
    <n v="138"/>
    <x v="0"/>
    <n v="310"/>
    <x v="0"/>
    <n v="7.4"/>
    <s v="6.0–7.9 s"/>
    <n v="70"/>
    <x v="0"/>
    <s v="CCS"/>
    <n v="500"/>
    <s v="326"/>
    <n v="5"/>
    <s v="FWD"/>
    <s v="B - Compact"/>
    <n v="3997"/>
    <n v="1823"/>
    <n v="1512"/>
    <x v="0"/>
    <s v="https://ev-database.org/car/2268/Alpine-A290-Electric-180-hp"/>
  </r>
  <r>
    <x v="3"/>
    <x v="9"/>
    <n v="170"/>
    <x v="0"/>
    <n v="52"/>
    <s v="31–60 kWh"/>
    <s v="Lithium-ion"/>
    <n v="184"/>
    <n v="300"/>
    <n v="144"/>
    <x v="0"/>
    <n v="305"/>
    <x v="0"/>
    <n v="6.4"/>
    <s v="6.0–7.9 s"/>
    <n v="70"/>
    <x v="0"/>
    <s v="CCS"/>
    <n v="500"/>
    <s v="326"/>
    <n v="5"/>
    <s v="FWD"/>
    <s v="B - Compact"/>
    <n v="3997"/>
    <n v="1823"/>
    <n v="1512"/>
    <x v="0"/>
    <s v="https://ev-database.org/car/2269/Alpine-A290-Electric-220-hp"/>
  </r>
  <r>
    <x v="4"/>
    <x v="10"/>
    <n v="210"/>
    <x v="1"/>
    <n v="75.8"/>
    <s v="61+ kWh"/>
    <s v="Lithium-ion"/>
    <n v="150"/>
    <n v="435"/>
    <n v="146"/>
    <x v="0"/>
    <n v="465"/>
    <x v="1"/>
    <n v="6"/>
    <s v="6.0–7.9 s"/>
    <n v="150"/>
    <x v="1"/>
    <s v="CCS"/>
    <n v="2100"/>
    <s v="502"/>
    <n v="5"/>
    <s v="RWD"/>
    <s v="JE - Executive"/>
    <n v="4928"/>
    <n v="1923"/>
    <n v="1455"/>
    <x v="2"/>
    <s v="https://ev-database.org/car/3055/Audi-A6-Avant-e-tron"/>
  </r>
  <r>
    <x v="4"/>
    <x v="11"/>
    <n v="210"/>
    <x v="1"/>
    <n v="94.9"/>
    <s v="61+ kWh"/>
    <s v="Lithium-ion"/>
    <n v="180"/>
    <n v="565"/>
    <n v="151"/>
    <x v="0"/>
    <n v="575"/>
    <x v="1"/>
    <n v="5.4"/>
    <s v="4.0–5.9 s"/>
    <n v="200"/>
    <x v="1"/>
    <s v="CCS"/>
    <n v="2100"/>
    <s v="502"/>
    <n v="5"/>
    <s v="RWD"/>
    <s v="JE - Executive"/>
    <n v="4928"/>
    <n v="1923"/>
    <n v="1455"/>
    <x v="2"/>
    <s v="https://ev-database.org/car/2272/Audi-A6-Avant-e-tron-performance"/>
  </r>
  <r>
    <x v="4"/>
    <x v="12"/>
    <n v="210"/>
    <x v="1"/>
    <n v="94.9"/>
    <s v="61+ kWh"/>
    <s v="Lithium-ion"/>
    <n v="180"/>
    <n v="855"/>
    <n v="157"/>
    <x v="0"/>
    <n v="560"/>
    <x v="1"/>
    <n v="4.5"/>
    <s v="4.0–5.9 s"/>
    <n v="200"/>
    <x v="1"/>
    <s v="CCS"/>
    <n v="2100"/>
    <s v="502"/>
    <n v="5"/>
    <s v="AWD"/>
    <s v="JE - Executive"/>
    <n v="4928"/>
    <n v="1923"/>
    <n v="1455"/>
    <x v="2"/>
    <s v="https://ev-database.org/car/3054/Audi-A6-Avant-e-tron-quattro"/>
  </r>
  <r>
    <x v="4"/>
    <x v="13"/>
    <n v="210"/>
    <x v="1"/>
    <n v="75.8"/>
    <s v="61+ kWh"/>
    <s v="Lithium-ion"/>
    <n v="150"/>
    <n v="435"/>
    <n v="136"/>
    <x v="0"/>
    <n v="495"/>
    <x v="1"/>
    <n v="6"/>
    <s v="6.0–7.9 s"/>
    <n v="150"/>
    <x v="1"/>
    <s v="CCS"/>
    <n v="2100"/>
    <s v="502"/>
    <n v="5"/>
    <s v="RWD"/>
    <s v="JE - Executive"/>
    <n v="4928"/>
    <n v="1923"/>
    <n v="1455"/>
    <x v="3"/>
    <s v="https://ev-database.org/car/3053/Audi-A6-Sportback-e-tron"/>
  </r>
  <r>
    <x v="4"/>
    <x v="14"/>
    <n v="210"/>
    <x v="1"/>
    <n v="94.9"/>
    <s v="61+ kWh"/>
    <s v="Lithium-ion"/>
    <n v="180"/>
    <n v="565"/>
    <n v="141"/>
    <x v="0"/>
    <n v="610"/>
    <x v="1"/>
    <n v="5.4"/>
    <s v="4.0–5.9 s"/>
    <n v="200"/>
    <x v="1"/>
    <s v="CCS"/>
    <n v="2100"/>
    <s v="502"/>
    <n v="5"/>
    <s v="RWD"/>
    <s v="JE - Executive"/>
    <n v="4928"/>
    <n v="1923"/>
    <n v="1455"/>
    <x v="3"/>
    <s v="https://ev-database.org/car/2270/Audi-A6-Sportback-e-tron-performance"/>
  </r>
  <r>
    <x v="4"/>
    <x v="15"/>
    <n v="210"/>
    <x v="1"/>
    <n v="94.9"/>
    <s v="61+ kWh"/>
    <s v="Lithium-ion"/>
    <n v="180"/>
    <n v="855"/>
    <n v="147"/>
    <x v="0"/>
    <n v="590"/>
    <x v="1"/>
    <n v="4.7"/>
    <s v="4.0–5.9 s"/>
    <n v="200"/>
    <x v="1"/>
    <s v="CCS"/>
    <n v="2100"/>
    <s v="502"/>
    <n v="5"/>
    <s v="AWD"/>
    <s v="JE - Executive"/>
    <n v="4928"/>
    <n v="1923"/>
    <n v="1455"/>
    <x v="3"/>
    <s v="https://ev-database.org/car/3052/Audi-A6-Sportback-e-tron-quattro"/>
  </r>
  <r>
    <x v="4"/>
    <x v="16"/>
    <n v="160"/>
    <x v="0"/>
    <n v="59"/>
    <s v="31–60 kWh"/>
    <s v="Lithium-ion"/>
    <n v="216"/>
    <n v="310"/>
    <n v="156"/>
    <x v="0"/>
    <n v="340"/>
    <x v="0"/>
    <n v="8.1"/>
    <s v="8.0+ s"/>
    <n v="110"/>
    <x v="2"/>
    <s v="CCS"/>
    <n v="1000"/>
    <s v="520"/>
    <n v="5"/>
    <s v="RWD"/>
    <s v="JC - Medium"/>
    <n v="4588"/>
    <n v="1865"/>
    <n v="1614"/>
    <x v="1"/>
    <s v="https://ev-database.org/car/3149/Audi-Q4-Sportback-e-tron-40"/>
  </r>
  <r>
    <x v="4"/>
    <x v="17"/>
    <n v="180"/>
    <x v="2"/>
    <n v="77"/>
    <s v="61+ kWh"/>
    <s v="Lithium-ion"/>
    <n v="288"/>
    <n v="545"/>
    <n v="162"/>
    <x v="2"/>
    <n v="435"/>
    <x v="1"/>
    <n v="6.7"/>
    <s v="6.0–7.9 s"/>
    <n v="120"/>
    <x v="2"/>
    <s v="CCS"/>
    <n v="1000"/>
    <s v="535"/>
    <n v="5"/>
    <s v="RWD"/>
    <s v="JC - Medium"/>
    <n v="4588"/>
    <n v="1865"/>
    <n v="1614"/>
    <x v="1"/>
    <s v="https://ev-database.org/car/2016/Audi-Q4-Sportback-e-tron-45"/>
  </r>
  <r>
    <x v="4"/>
    <x v="18"/>
    <n v="180"/>
    <x v="2"/>
    <n v="77"/>
    <s v="61+ kWh"/>
    <s v="Lithium-ion"/>
    <n v="288"/>
    <n v="679"/>
    <n v="165"/>
    <x v="2"/>
    <n v="410"/>
    <x v="1"/>
    <n v="6.6"/>
    <s v="6.0–7.9 s"/>
    <n v="120"/>
    <x v="2"/>
    <s v="CCS"/>
    <n v="1200"/>
    <s v="535"/>
    <n v="5"/>
    <s v="AWD"/>
    <s v="JC - Medium"/>
    <n v="4588"/>
    <n v="1865"/>
    <n v="1614"/>
    <x v="1"/>
    <s v="https://ev-database.org/car/2017/Audi-Q4-Sportback-e-tron-45-quattro"/>
  </r>
  <r>
    <x v="4"/>
    <x v="19"/>
    <n v="180"/>
    <x v="2"/>
    <n v="77"/>
    <s v="61+ kWh"/>
    <s v="Lithium-ion"/>
    <n v="288"/>
    <n v="679"/>
    <n v="165"/>
    <x v="2"/>
    <n v="415"/>
    <x v="1"/>
    <n v="5.4"/>
    <s v="4.0–5.9 s"/>
    <n v="120"/>
    <x v="2"/>
    <s v="CCS"/>
    <n v="1200"/>
    <s v="535"/>
    <n v="5"/>
    <s v="AWD"/>
    <s v="JC - Medium"/>
    <n v="4588"/>
    <n v="1865"/>
    <n v="1614"/>
    <x v="1"/>
    <s v="https://ev-database.org/car/2018/Audi-Q4-Sportback-e-tron-55-quattro"/>
  </r>
  <r>
    <x v="4"/>
    <x v="20"/>
    <n v="160"/>
    <x v="0"/>
    <n v="59"/>
    <s v="31–60 kWh"/>
    <s v="Lithium-ion"/>
    <n v="216"/>
    <n v="310"/>
    <n v="159"/>
    <x v="0"/>
    <n v="325"/>
    <x v="0"/>
    <n v="8.1"/>
    <s v="8.0+ s"/>
    <n v="110"/>
    <x v="2"/>
    <s v="CCS"/>
    <n v="1000"/>
    <s v="520"/>
    <n v="5"/>
    <s v="RWD"/>
    <s v="JC - Medium"/>
    <n v="4588"/>
    <n v="1865"/>
    <n v="1632"/>
    <x v="1"/>
    <s v="https://ev-database.org/car/3148/Audi-Q4-e-tron-40"/>
  </r>
  <r>
    <x v="4"/>
    <x v="21"/>
    <n v="180"/>
    <x v="2"/>
    <n v="77"/>
    <s v="61+ kWh"/>
    <s v="Lithium-ion"/>
    <n v="288"/>
    <n v="545"/>
    <n v="169"/>
    <x v="2"/>
    <n v="420"/>
    <x v="1"/>
    <n v="6.7"/>
    <s v="6.0–7.9 s"/>
    <n v="120"/>
    <x v="2"/>
    <s v="CCS"/>
    <n v="1000"/>
    <s v="520"/>
    <n v="5"/>
    <s v="RWD"/>
    <s v="JC - Medium"/>
    <n v="4588"/>
    <n v="1865"/>
    <n v="1632"/>
    <x v="1"/>
    <s v="https://ev-database.org/car/2013/Audi-Q4-e-tron-45"/>
  </r>
  <r>
    <x v="4"/>
    <x v="22"/>
    <n v="180"/>
    <x v="2"/>
    <n v="77"/>
    <s v="61+ kWh"/>
    <s v="Lithium-ion"/>
    <n v="288"/>
    <n v="679"/>
    <n v="171"/>
    <x v="2"/>
    <n v="395"/>
    <x v="0"/>
    <n v="6.6"/>
    <s v="6.0–7.9 s"/>
    <n v="120"/>
    <x v="2"/>
    <s v="CCS"/>
    <n v="1200"/>
    <s v="520"/>
    <n v="5"/>
    <s v="AWD"/>
    <s v="JC - Medium"/>
    <n v="4588"/>
    <n v="1865"/>
    <n v="1632"/>
    <x v="1"/>
    <s v="https://ev-database.org/car/2014/Audi-Q4-e-tron-45-quattro"/>
  </r>
  <r>
    <x v="4"/>
    <x v="23"/>
    <n v="180"/>
    <x v="2"/>
    <n v="77"/>
    <s v="61+ kWh"/>
    <s v="Lithium-ion"/>
    <n v="288"/>
    <n v="679"/>
    <n v="171"/>
    <x v="2"/>
    <n v="395"/>
    <x v="0"/>
    <n v="5.4"/>
    <s v="4.0–5.9 s"/>
    <n v="120"/>
    <x v="2"/>
    <s v="CCS"/>
    <n v="1200"/>
    <s v="520"/>
    <n v="5"/>
    <s v="AWD"/>
    <s v="JC - Medium"/>
    <n v="4588"/>
    <n v="1865"/>
    <n v="1632"/>
    <x v="1"/>
    <s v="https://ev-database.org/car/2015/Audi-Q4-e-tron-55-quattro"/>
  </r>
  <r>
    <x v="4"/>
    <x v="24"/>
    <n v="210"/>
    <x v="1"/>
    <n v="75.8"/>
    <s v="61+ kWh"/>
    <s v="Lithium-ion"/>
    <n v="150"/>
    <n v="450"/>
    <n v="166"/>
    <x v="2"/>
    <n v="395"/>
    <x v="0"/>
    <n v="7"/>
    <s v="6.0–7.9 s"/>
    <n v="150"/>
    <x v="1"/>
    <s v="CCS"/>
    <n v="2000"/>
    <s v="526"/>
    <n v="5"/>
    <s v="RWD"/>
    <s v="JD - Large"/>
    <n v="4771"/>
    <n v="1939"/>
    <n v="1685"/>
    <x v="1"/>
    <s v="https://ev-database.org/car/2281/Audi-Q6-e-tron"/>
  </r>
  <r>
    <x v="4"/>
    <x v="25"/>
    <n v="210"/>
    <x v="1"/>
    <n v="75.8"/>
    <s v="61+ kWh"/>
    <s v="Lithium-ion"/>
    <n v="150"/>
    <n v="450"/>
    <n v="139"/>
    <x v="0"/>
    <n v="410"/>
    <x v="1"/>
    <n v="7"/>
    <s v="6.0–7.9 s"/>
    <n v="150"/>
    <x v="1"/>
    <s v="CCS"/>
    <n v="2000"/>
    <s v="511"/>
    <n v="5"/>
    <s v="RWD"/>
    <s v="JD - Large"/>
    <n v="4771"/>
    <n v="1939"/>
    <n v="1665"/>
    <x v="1"/>
    <s v="https://ev-database.org/car/3041/Audi-Q6-e-tron-Sportback"/>
  </r>
  <r>
    <x v="4"/>
    <x v="26"/>
    <n v="210"/>
    <x v="1"/>
    <n v="94.9"/>
    <s v="61+ kWh"/>
    <s v="Lithium-ion"/>
    <n v="180"/>
    <n v="485"/>
    <n v="145"/>
    <x v="0"/>
    <n v="510"/>
    <x v="1"/>
    <n v="6.6"/>
    <s v="6.0–7.9 s"/>
    <n v="190"/>
    <x v="1"/>
    <s v="CCS"/>
    <n v="2000"/>
    <s v="511"/>
    <n v="5"/>
    <s v="RWD"/>
    <s v="JD - Large"/>
    <n v="4771"/>
    <n v="1939"/>
    <n v="1665"/>
    <x v="1"/>
    <s v="https://ev-database.org/car/3042/Audi-Q6-e-tron-Sportback-performance"/>
  </r>
  <r>
    <x v="4"/>
    <x v="27"/>
    <n v="210"/>
    <x v="1"/>
    <n v="94.9"/>
    <s v="61+ kWh"/>
    <s v="Lithium-ion"/>
    <n v="180"/>
    <n v="855"/>
    <n v="149"/>
    <x v="0"/>
    <n v="500"/>
    <x v="1"/>
    <n v="5.9"/>
    <s v="4.0–5.9 s"/>
    <n v="200"/>
    <x v="1"/>
    <s v="CCS"/>
    <n v="2400"/>
    <s v="511"/>
    <n v="5"/>
    <s v="AWD"/>
    <s v="JD - Large"/>
    <n v="4771"/>
    <n v="1939"/>
    <n v="1665"/>
    <x v="1"/>
    <s v="https://ev-database.org/car/3043/Audi-Q6-e-tron-Sportback-quattro"/>
  </r>
  <r>
    <x v="4"/>
    <x v="28"/>
    <n v="210"/>
    <x v="1"/>
    <n v="94.9"/>
    <s v="61+ kWh"/>
    <s v="Lithium-ion"/>
    <n v="180"/>
    <n v="485"/>
    <n v="171"/>
    <x v="2"/>
    <n v="490"/>
    <x v="1"/>
    <n v="6.6"/>
    <s v="6.0–7.9 s"/>
    <n v="190"/>
    <x v="1"/>
    <s v="CCS"/>
    <n v="2000"/>
    <s v="526"/>
    <n v="5"/>
    <s v="RWD"/>
    <s v="JD - Large"/>
    <n v="4771"/>
    <n v="1939"/>
    <n v="1685"/>
    <x v="1"/>
    <s v="https://ev-database.org/car/2215/Audi-Q6-e-tron-performance"/>
  </r>
  <r>
    <x v="4"/>
    <x v="29"/>
    <n v="210"/>
    <x v="1"/>
    <n v="94.9"/>
    <s v="61+ kWh"/>
    <s v="Lithium-ion"/>
    <n v="180"/>
    <n v="855"/>
    <n v="176"/>
    <x v="2"/>
    <n v="480"/>
    <x v="1"/>
    <n v="5.9"/>
    <s v="4.0–5.9 s"/>
    <n v="200"/>
    <x v="1"/>
    <s v="CCS"/>
    <n v="2400"/>
    <s v="10 Banana Boxes"/>
    <n v="5"/>
    <s v="AWD"/>
    <s v="JD - Large"/>
    <n v="4771"/>
    <n v="1939"/>
    <n v="1685"/>
    <x v="1"/>
    <s v="https://ev-database.org/car/2146/Audi-Q6-e-tron-quattro"/>
  </r>
  <r>
    <x v="4"/>
    <x v="30"/>
    <n v="240"/>
    <x v="3"/>
    <n v="94.9"/>
    <s v="61+ kWh"/>
    <s v="Lithium-ion"/>
    <n v="180"/>
    <n v="855"/>
    <n v="156"/>
    <x v="0"/>
    <n v="530"/>
    <x v="1"/>
    <n v="3.9"/>
    <s v="0–3.9 s"/>
    <n v="200"/>
    <x v="1"/>
    <s v="CCS"/>
    <n v="2100"/>
    <s v="502"/>
    <n v="5"/>
    <s v="AWD"/>
    <s v="JE - Executive"/>
    <n v="4928"/>
    <n v="1923"/>
    <n v="1493"/>
    <x v="2"/>
    <s v="https://ev-database.org/car/2273/Audi-S6-Avant-e-tron"/>
  </r>
  <r>
    <x v="4"/>
    <x v="31"/>
    <n v="240"/>
    <x v="3"/>
    <n v="94.9"/>
    <s v="61+ kWh"/>
    <s v="Lithium-ion"/>
    <n v="180"/>
    <n v="855"/>
    <n v="149"/>
    <x v="0"/>
    <n v="555"/>
    <x v="1"/>
    <n v="3.9"/>
    <s v="0–3.9 s"/>
    <n v="200"/>
    <x v="1"/>
    <s v="CCS"/>
    <n v="2100"/>
    <s v="502"/>
    <n v="5"/>
    <s v="AWD"/>
    <s v="JE - Executive"/>
    <n v="4928"/>
    <n v="1923"/>
    <n v="1465"/>
    <x v="3"/>
    <s v="https://ev-database.org/car/2271/Audi-S6-Sportback-e-tron"/>
  </r>
  <r>
    <x v="4"/>
    <x v="32"/>
    <n v="230"/>
    <x v="3"/>
    <n v="94.9"/>
    <s v="61+ kWh"/>
    <s v="Lithium-ion"/>
    <n v="180"/>
    <n v="855"/>
    <n v="169"/>
    <x v="2"/>
    <n v="470"/>
    <x v="1"/>
    <n v="4.3"/>
    <s v="4.0–5.9 s"/>
    <n v="200"/>
    <x v="1"/>
    <s v="CCS"/>
    <n v="2400"/>
    <s v="514"/>
    <n v="5"/>
    <s v="AWD"/>
    <s v="JD - Large"/>
    <n v="4771"/>
    <n v="1965"/>
    <n v="1685"/>
    <x v="1"/>
    <s v="https://ev-database.org/car/2147/Audi-SQ6-e-tron"/>
  </r>
  <r>
    <x v="4"/>
    <x v="33"/>
    <n v="230"/>
    <x v="3"/>
    <n v="94.9"/>
    <s v="61+ kWh"/>
    <s v="Lithium-ion"/>
    <n v="180"/>
    <n v="855"/>
    <n v="164"/>
    <x v="2"/>
    <n v="495"/>
    <x v="1"/>
    <n v="4.3"/>
    <s v="4.0–5.9 s"/>
    <n v="200"/>
    <x v="1"/>
    <s v="CCS"/>
    <n v="2400"/>
    <s v="511"/>
    <n v="5"/>
    <s v="AWD"/>
    <s v="JD - Large"/>
    <n v="4771"/>
    <n v="1965"/>
    <n v="1665"/>
    <x v="1"/>
    <s v="https://ev-database.org/car/3044/Audi-SQ6-e-tron-Sportback"/>
  </r>
  <r>
    <x v="4"/>
    <x v="34"/>
    <n v="250"/>
    <x v="4"/>
    <n v="97"/>
    <s v="61+ kWh"/>
    <s v="Lithium-ion"/>
    <n v="396"/>
    <n v="865"/>
    <n v="184"/>
    <x v="2"/>
    <n v="525"/>
    <x v="1"/>
    <n v="2.8"/>
    <s v="0–3.9 s"/>
    <n v="281"/>
    <x v="1"/>
    <s v="CCS"/>
    <n v="0"/>
    <s v="350"/>
    <n v="4"/>
    <s v="AWD"/>
    <s v="F - Luxury"/>
    <n v="4997"/>
    <n v="1964"/>
    <n v="1389"/>
    <x v="4"/>
    <s v="https://ev-database.org/car/2220/Audi-e-tron-GT-RS"/>
  </r>
  <r>
    <x v="4"/>
    <x v="35"/>
    <n v="250"/>
    <x v="4"/>
    <n v="97"/>
    <s v="61+ kWh"/>
    <s v="Lithium-ion"/>
    <n v="396"/>
    <n v="1027"/>
    <n v="182"/>
    <x v="2"/>
    <n v="525"/>
    <x v="1"/>
    <n v="2.5"/>
    <s v="0–3.9 s"/>
    <n v="281"/>
    <x v="1"/>
    <s v="CCS"/>
    <n v="0"/>
    <s v="350"/>
    <n v="4"/>
    <s v="AWD"/>
    <s v="F - Luxury"/>
    <n v="4997"/>
    <n v="1964"/>
    <n v="1389"/>
    <x v="4"/>
    <s v="https://ev-database.org/car/2221/Audi-e-tron-GT-RS-performance"/>
  </r>
  <r>
    <x v="4"/>
    <x v="36"/>
    <n v="245"/>
    <x v="3"/>
    <n v="97"/>
    <s v="61+ kWh"/>
    <s v="Lithium-ion"/>
    <n v="396"/>
    <n v="740"/>
    <n v="172"/>
    <x v="2"/>
    <n v="540"/>
    <x v="1"/>
    <n v="3.4"/>
    <s v="0–3.9 s"/>
    <n v="281"/>
    <x v="1"/>
    <s v="CCS"/>
    <n v="0"/>
    <s v="405"/>
    <n v="4"/>
    <s v="AWD"/>
    <s v="F - Luxury"/>
    <n v="5004"/>
    <n v="1964"/>
    <n v="1394"/>
    <x v="4"/>
    <s v="https://ev-database.org/car/2219/Audi-e-tron-GT-S"/>
  </r>
  <r>
    <x v="4"/>
    <x v="37"/>
    <n v="245"/>
    <x v="3"/>
    <n v="97"/>
    <s v="61+ kWh"/>
    <s v="Lithium-ion"/>
    <n v="396"/>
    <n v="625"/>
    <n v="169"/>
    <x v="2"/>
    <n v="540"/>
    <x v="1"/>
    <n v="4"/>
    <s v="4.0–5.9 s"/>
    <n v="281"/>
    <x v="1"/>
    <s v="CCS"/>
    <n v="0"/>
    <s v="405"/>
    <n v="4"/>
    <s v="AWD"/>
    <s v="F - Luxury"/>
    <n v="5004"/>
    <n v="1964"/>
    <n v="1394"/>
    <x v="4"/>
    <s v="https://ev-database.org/car/3182/Audi-e-tron-GT-quattro"/>
  </r>
  <r>
    <x v="5"/>
    <x v="38"/>
    <n v="225"/>
    <x v="3"/>
    <n v="81.3"/>
    <s v="61+ kWh"/>
    <s v="Lithium-ion"/>
    <m/>
    <n v="795"/>
    <n v="197"/>
    <x v="2"/>
    <n v="450"/>
    <x v="1"/>
    <n v="3.9"/>
    <s v="0–3.9 s"/>
    <n v="131"/>
    <x v="2"/>
    <s v="CCS"/>
    <n v="1600"/>
    <s v="470"/>
    <n v="5"/>
    <s v="AWD"/>
    <s v="D - Large"/>
    <n v="4783"/>
    <n v="1852"/>
    <n v="1448"/>
    <x v="3"/>
    <s v="https://ev-database.org/car/2201/BMW-i4-M50"/>
  </r>
  <r>
    <x v="5"/>
    <x v="39"/>
    <n v="190"/>
    <x v="2"/>
    <n v="67.099999999999994"/>
    <s v="61+ kWh"/>
    <s v="Lithium-ion"/>
    <m/>
    <n v="400"/>
    <n v="174"/>
    <x v="2"/>
    <n v="430"/>
    <x v="1"/>
    <n v="6"/>
    <s v="6.0–7.9 s"/>
    <n v="95"/>
    <x v="0"/>
    <s v="CCS"/>
    <n v="1600"/>
    <s v="470"/>
    <n v="5"/>
    <s v="RWD"/>
    <s v="D - Large"/>
    <n v="4783"/>
    <n v="1852"/>
    <n v="1448"/>
    <x v="3"/>
    <s v="https://ev-database.org/car/2198/BMW-i4-eDrive35"/>
  </r>
  <r>
    <x v="5"/>
    <x v="40"/>
    <n v="190"/>
    <x v="2"/>
    <n v="81.3"/>
    <s v="61+ kWh"/>
    <s v="Lithium-ion"/>
    <m/>
    <n v="430"/>
    <n v="174"/>
    <x v="2"/>
    <n v="515"/>
    <x v="1"/>
    <n v="5.6"/>
    <s v="4.0–5.9 s"/>
    <n v="131"/>
    <x v="2"/>
    <s v="CCS"/>
    <n v="1600"/>
    <s v="470"/>
    <n v="5"/>
    <s v="RWD"/>
    <s v="D - Large"/>
    <n v="4783"/>
    <n v="1852"/>
    <n v="1448"/>
    <x v="3"/>
    <s v="https://ev-database.org/car/2199/BMW-i4-eDrive40"/>
  </r>
  <r>
    <x v="5"/>
    <x v="41"/>
    <n v="200"/>
    <x v="1"/>
    <n v="81.3"/>
    <s v="61+ kWh"/>
    <s v="Lithium-ion"/>
    <m/>
    <n v="600"/>
    <n v="183"/>
    <x v="2"/>
    <n v="490"/>
    <x v="1"/>
    <n v="5.0999999999999996"/>
    <s v="4.0–5.9 s"/>
    <n v="131"/>
    <x v="2"/>
    <s v="CCS"/>
    <n v="1600"/>
    <s v="470"/>
    <n v="5"/>
    <s v="AWD"/>
    <s v="D - Large"/>
    <n v="4783"/>
    <n v="1852"/>
    <n v="1448"/>
    <x v="3"/>
    <s v="https://ev-database.org/car/2200/BMW-i4-xDrive40"/>
  </r>
  <r>
    <x v="5"/>
    <x v="42"/>
    <n v="230"/>
    <x v="3"/>
    <n v="81.2"/>
    <s v="61+ kWh"/>
    <s v="Lithium-ion"/>
    <m/>
    <n v="795"/>
    <n v="172"/>
    <x v="2"/>
    <n v="430"/>
    <x v="1"/>
    <n v="3.8"/>
    <s v="0–3.9 s"/>
    <n v="136"/>
    <x v="2"/>
    <s v="CCS"/>
    <n v="2000"/>
    <s v="490"/>
    <n v="5"/>
    <s v="AWD"/>
    <s v="E - Executive"/>
    <n v="5060"/>
    <n v="1900"/>
    <n v="1505"/>
    <x v="4"/>
    <s v="https://ev-database.org/car/3114/BMW-i5-M60-xDrive-Sedan"/>
  </r>
  <r>
    <x v="5"/>
    <x v="43"/>
    <n v="230"/>
    <x v="3"/>
    <n v="81.2"/>
    <s v="61+ kWh"/>
    <s v="Lithium-ion"/>
    <m/>
    <n v="795"/>
    <n v="179"/>
    <x v="2"/>
    <n v="425"/>
    <x v="1"/>
    <n v="3.9"/>
    <s v="0–3.9 s"/>
    <n v="136"/>
    <x v="2"/>
    <s v="CCS"/>
    <n v="2000"/>
    <s v="570"/>
    <n v="5"/>
    <s v="AWD"/>
    <s v="E - Executive"/>
    <n v="5060"/>
    <n v="1900"/>
    <n v="1505"/>
    <x v="2"/>
    <s v="https://ev-database.org/car/3117/BMW-i5-M60-xDrive-Touring"/>
  </r>
  <r>
    <x v="5"/>
    <x v="44"/>
    <n v="193"/>
    <x v="2"/>
    <n v="81.2"/>
    <s v="61+ kWh"/>
    <s v="Lithium-ion"/>
    <m/>
    <n v="400"/>
    <n v="159"/>
    <x v="0"/>
    <n v="480"/>
    <x v="1"/>
    <n v="6"/>
    <s v="6.0–7.9 s"/>
    <n v="136"/>
    <x v="2"/>
    <s v="CCS"/>
    <n v="1500"/>
    <s v="490"/>
    <n v="5"/>
    <s v="RWD"/>
    <s v="E - Executive"/>
    <n v="5060"/>
    <n v="1900"/>
    <n v="1515"/>
    <x v="4"/>
    <s v="https://ev-database.org/car/3112/BMW-i5-eDrive40-Sedan"/>
  </r>
  <r>
    <x v="5"/>
    <x v="45"/>
    <n v="193"/>
    <x v="2"/>
    <n v="81.2"/>
    <s v="61+ kWh"/>
    <s v="Lithium-ion"/>
    <m/>
    <n v="400"/>
    <n v="165"/>
    <x v="2"/>
    <n v="465"/>
    <x v="1"/>
    <n v="6.1"/>
    <s v="6.0–7.9 s"/>
    <n v="136"/>
    <x v="2"/>
    <s v="CCS"/>
    <n v="1500"/>
    <s v="570"/>
    <n v="5"/>
    <s v="RWD"/>
    <s v="E - Executive"/>
    <n v="5060"/>
    <n v="1900"/>
    <n v="1515"/>
    <x v="2"/>
    <s v="https://ev-database.org/car/3115/BMW-i5-eDrive40-Touring"/>
  </r>
  <r>
    <x v="5"/>
    <x v="46"/>
    <n v="215"/>
    <x v="1"/>
    <n v="81.2"/>
    <s v="61+ kWh"/>
    <s v="Lithium-ion"/>
    <m/>
    <n v="590"/>
    <n v="167"/>
    <x v="2"/>
    <n v="465"/>
    <x v="1"/>
    <n v="5.4"/>
    <s v="4.0–5.9 s"/>
    <n v="136"/>
    <x v="2"/>
    <s v="CCS"/>
    <n v="2000"/>
    <s v="490"/>
    <n v="5"/>
    <s v="AWD"/>
    <s v="E - Executive"/>
    <n v="5060"/>
    <n v="1900"/>
    <n v="1515"/>
    <x v="4"/>
    <s v="https://ev-database.org/car/3113/BMW-i5-xDrive40-Sedan"/>
  </r>
  <r>
    <x v="5"/>
    <x v="47"/>
    <n v="215"/>
    <x v="1"/>
    <n v="81.2"/>
    <s v="61+ kWh"/>
    <s v="Lithium-ion"/>
    <m/>
    <n v="590"/>
    <n v="174"/>
    <x v="2"/>
    <n v="450"/>
    <x v="1"/>
    <n v="5.5"/>
    <s v="4.0–5.9 s"/>
    <n v="136"/>
    <x v="2"/>
    <s v="CCS"/>
    <n v="2000"/>
    <s v="570"/>
    <n v="5"/>
    <s v="AWD"/>
    <s v="E - Executive"/>
    <n v="5060"/>
    <n v="1900"/>
    <n v="1515"/>
    <x v="2"/>
    <s v="https://ev-database.org/car/3116/BMW-i5-xDrive40-Touring"/>
  </r>
  <r>
    <x v="5"/>
    <x v="48"/>
    <n v="250"/>
    <x v="4"/>
    <n v="101.7"/>
    <s v="61+ kWh"/>
    <s v="Lithium-ion"/>
    <m/>
    <n v="1100"/>
    <n v="208"/>
    <x v="2"/>
    <n v="490"/>
    <x v="1"/>
    <n v="3.7"/>
    <s v="0–3.9 s"/>
    <n v="159"/>
    <x v="1"/>
    <s v="CCS"/>
    <n v="0"/>
    <s v="500"/>
    <n v="5"/>
    <s v="AWD"/>
    <s v="F - Luxury"/>
    <n v="5391"/>
    <n v="1950"/>
    <n v="1544"/>
    <x v="4"/>
    <s v="https://ev-database.org/car/1838/BMW-i7-M70-xDrive"/>
  </r>
  <r>
    <x v="5"/>
    <x v="49"/>
    <n v="205"/>
    <x v="1"/>
    <n v="101.7"/>
    <s v="61+ kWh"/>
    <s v="Lithium-ion"/>
    <m/>
    <n v="650"/>
    <n v="177"/>
    <x v="2"/>
    <n v="520"/>
    <x v="1"/>
    <n v="5.5"/>
    <s v="4.0–5.9 s"/>
    <n v="159"/>
    <x v="1"/>
    <s v="CCS"/>
    <n v="0"/>
    <s v="500"/>
    <n v="5"/>
    <s v="RWD"/>
    <s v="F - Luxury"/>
    <n v="5391"/>
    <n v="1950"/>
    <n v="1544"/>
    <x v="4"/>
    <s v="https://ev-database.org/car/1905/BMW-i7-eDrive50"/>
  </r>
  <r>
    <x v="5"/>
    <x v="50"/>
    <n v="240"/>
    <x v="3"/>
    <n v="101.7"/>
    <s v="61+ kWh"/>
    <s v="Lithium-ion"/>
    <m/>
    <n v="745"/>
    <n v="172"/>
    <x v="2"/>
    <n v="510"/>
    <x v="1"/>
    <n v="4.7"/>
    <s v="4.0–5.9 s"/>
    <n v="159"/>
    <x v="1"/>
    <s v="CCS"/>
    <n v="2000"/>
    <s v="500"/>
    <n v="5"/>
    <s v="AWD"/>
    <s v="F - Luxury"/>
    <n v="5391"/>
    <n v="1950"/>
    <n v="1544"/>
    <x v="4"/>
    <s v="https://ev-database.org/car/1676/BMW-i7-xDrive60"/>
  </r>
  <r>
    <x v="5"/>
    <x v="51"/>
    <n v="250"/>
    <x v="4"/>
    <n v="108.9"/>
    <s v="61+ kWh"/>
    <s v="Lithium-ion"/>
    <m/>
    <n v="1015"/>
    <n v="209"/>
    <x v="2"/>
    <n v="500"/>
    <x v="1"/>
    <n v="3.8"/>
    <s v="0–3.9 s"/>
    <n v="150"/>
    <x v="1"/>
    <s v="CCS"/>
    <n v="2500"/>
    <s v="500"/>
    <n v="5"/>
    <s v="AWD"/>
    <s v="JE - Executive"/>
    <n v="4965"/>
    <n v="1970"/>
    <n v="1695"/>
    <x v="1"/>
    <s v="https://ev-database.org/car/3111/BMW-iX-M70-xDrive"/>
  </r>
  <r>
    <x v="5"/>
    <x v="52"/>
    <n v="200"/>
    <x v="1"/>
    <n v="94.8"/>
    <s v="61+ kWh"/>
    <s v="Lithium-ion"/>
    <m/>
    <n v="700"/>
    <n v="193"/>
    <x v="2"/>
    <n v="470"/>
    <x v="1"/>
    <n v="5.0999999999999996"/>
    <s v="4.0–5.9 s"/>
    <n v="115"/>
    <x v="2"/>
    <s v="CCS"/>
    <n v="2500"/>
    <s v="500"/>
    <n v="5"/>
    <s v="AWD"/>
    <s v="JE - Executive"/>
    <n v="4965"/>
    <n v="1970"/>
    <n v="1695"/>
    <x v="1"/>
    <s v="https://ev-database.org/car/3109/BMW-iX-xDrive45"/>
  </r>
  <r>
    <x v="5"/>
    <x v="53"/>
    <n v="200"/>
    <x v="1"/>
    <n v="109.1"/>
    <s v="61+ kWh"/>
    <s v="Lithium-ion"/>
    <m/>
    <n v="765"/>
    <n v="194"/>
    <x v="2"/>
    <n v="525"/>
    <x v="1"/>
    <n v="4.5999999999999996"/>
    <s v="4.0–5.9 s"/>
    <n v="150"/>
    <x v="1"/>
    <s v="CCS"/>
    <n v="2500"/>
    <s v="500"/>
    <n v="5"/>
    <s v="AWD"/>
    <s v="JE - Executive"/>
    <n v="4965"/>
    <n v="1970"/>
    <n v="1695"/>
    <x v="1"/>
    <s v="https://ev-database.org/car/3110/BMW-iX-xDrive60"/>
  </r>
  <r>
    <x v="5"/>
    <x v="54"/>
    <n v="170"/>
    <x v="0"/>
    <n v="64.7"/>
    <s v="61+ kWh"/>
    <s v="Lithium-ion"/>
    <m/>
    <n v="247"/>
    <n v="150"/>
    <x v="0"/>
    <n v="390"/>
    <x v="0"/>
    <n v="8.3000000000000007"/>
    <s v="8.0+ s"/>
    <n v="94"/>
    <x v="0"/>
    <s v="CCS"/>
    <n v="750"/>
    <s v="490"/>
    <n v="5"/>
    <s v="FWD"/>
    <s v="JC - Medium"/>
    <n v="4500"/>
    <n v="1845"/>
    <n v="1616"/>
    <x v="1"/>
    <s v="https://ev-database.org/car/1996/BMW-iX1-eDrive20"/>
  </r>
  <r>
    <x v="5"/>
    <x v="55"/>
    <n v="180"/>
    <x v="2"/>
    <n v="64.7"/>
    <s v="61+ kWh"/>
    <s v="Lithium-ion"/>
    <m/>
    <n v="494"/>
    <n v="155"/>
    <x v="0"/>
    <n v="380"/>
    <x v="0"/>
    <n v="5.6"/>
    <s v="4.0–5.9 s"/>
    <n v="94"/>
    <x v="0"/>
    <s v="CCS"/>
    <n v="1200"/>
    <s v="490"/>
    <n v="5"/>
    <s v="AWD"/>
    <s v="JC - Medium"/>
    <n v="4500"/>
    <n v="1845"/>
    <n v="1616"/>
    <x v="1"/>
    <s v="https://ev-database.org/car/1701/BMW-iX1-xDrive30"/>
  </r>
  <r>
    <x v="5"/>
    <x v="56"/>
    <n v="170"/>
    <x v="0"/>
    <n v="64.7"/>
    <s v="61+ kWh"/>
    <s v="Lithium-ion"/>
    <m/>
    <n v="247"/>
    <n v="147"/>
    <x v="0"/>
    <n v="395"/>
    <x v="0"/>
    <n v="8.6"/>
    <s v="8.0+ s"/>
    <n v="94"/>
    <x v="0"/>
    <s v="CCS"/>
    <n v="750"/>
    <s v="525"/>
    <n v="5"/>
    <s v="FWD"/>
    <s v="JC - Medium"/>
    <n v="4554"/>
    <n v="1845"/>
    <n v="1560"/>
    <x v="1"/>
    <s v="https://ev-database.org/car/2097/BMW-iX2-eDrive20"/>
  </r>
  <r>
    <x v="5"/>
    <x v="57"/>
    <n v="180"/>
    <x v="2"/>
    <n v="64.7"/>
    <s v="61+ kWh"/>
    <s v="Lithium-ion"/>
    <m/>
    <n v="494"/>
    <n v="155"/>
    <x v="0"/>
    <n v="385"/>
    <x v="0"/>
    <n v="5.6"/>
    <s v="4.0–5.9 s"/>
    <n v="94"/>
    <x v="0"/>
    <s v="CCS"/>
    <n v="1200"/>
    <s v="525"/>
    <n v="5"/>
    <s v="AWD"/>
    <s v="JC - Medium"/>
    <n v="4554"/>
    <n v="1845"/>
    <n v="1560"/>
    <x v="1"/>
    <s v="https://ev-database.org/car/2040/BMW-iX2-xDrive30"/>
  </r>
  <r>
    <x v="6"/>
    <x v="58"/>
    <n v="160"/>
    <x v="0"/>
    <n v="45.1"/>
    <s v="31–60 kWh"/>
    <s v="Lithium-ion"/>
    <m/>
    <n v="290"/>
    <n v="145"/>
    <x v="0"/>
    <n v="245"/>
    <x v="0"/>
    <n v="7.9"/>
    <s v="6.0–7.9 s"/>
    <n v="51"/>
    <x v="0"/>
    <s v="CCS"/>
    <n v="750"/>
    <s v="400"/>
    <n v="5"/>
    <s v="FWD"/>
    <s v="JB - Compact"/>
    <n v="4310"/>
    <n v="1830"/>
    <n v="1675"/>
    <x v="1"/>
    <s v="https://ev-database.org/car/3125/BYD-ATTO-2"/>
  </r>
  <r>
    <x v="6"/>
    <x v="59"/>
    <n v="160"/>
    <x v="0"/>
    <n v="60.5"/>
    <s v="61+ kWh"/>
    <s v="Lithium-ion"/>
    <n v="126"/>
    <n v="310"/>
    <n v="144"/>
    <x v="0"/>
    <n v="340"/>
    <x v="0"/>
    <n v="7.3"/>
    <s v="6.0–7.9 s"/>
    <n v="75"/>
    <x v="0"/>
    <s v="CCS"/>
    <n v="750"/>
    <s v="440"/>
    <n v="5"/>
    <s v="FWD"/>
    <s v="JC - Medium"/>
    <n v="4455"/>
    <n v="1875"/>
    <n v="1615"/>
    <x v="1"/>
    <s v="https://ev-database.org/car/3192/BYD-ATTO-3"/>
  </r>
  <r>
    <x v="6"/>
    <x v="60"/>
    <n v="150"/>
    <x v="0"/>
    <n v="44.9"/>
    <s v="31–60 kWh"/>
    <s v="Lithium-ion"/>
    <n v="104"/>
    <n v="180"/>
    <n v="132"/>
    <x v="0"/>
    <n v="265"/>
    <x v="0"/>
    <n v="12.3"/>
    <s v="8.0+ s"/>
    <n v="50"/>
    <x v="0"/>
    <s v="CCS"/>
    <n v="0"/>
    <s v="345"/>
    <n v="5"/>
    <s v="FWD"/>
    <s v="C - Medium"/>
    <n v="4290"/>
    <n v="1770"/>
    <n v="1570"/>
    <x v="0"/>
    <s v="https://ev-database.org/car/1917/BYD-DOLPHIN-449-kWh-Active"/>
  </r>
  <r>
    <x v="6"/>
    <x v="61"/>
    <n v="160"/>
    <x v="0"/>
    <n v="44.9"/>
    <s v="31–60 kWh"/>
    <s v="Lithium-ion"/>
    <n v="104"/>
    <m/>
    <n v="145"/>
    <x v="0"/>
    <n v="260"/>
    <x v="0"/>
    <n v="8"/>
    <s v="8.0+ s"/>
    <n v="50"/>
    <x v="0"/>
    <s v="CCS"/>
    <n v="0"/>
    <s v="345"/>
    <n v="5"/>
    <s v="FWD"/>
    <s v="C - Medium"/>
    <n v="4290"/>
    <n v="1770"/>
    <n v="1570"/>
    <x v="0"/>
    <s v="https://ev-database.org/car/1918/BYD-DOLPHIN-449-kWh-Boost"/>
  </r>
  <r>
    <x v="6"/>
    <x v="62"/>
    <n v="160"/>
    <x v="0"/>
    <n v="60.5"/>
    <s v="61+ kWh"/>
    <s v="Lithium-ion"/>
    <n v="126"/>
    <n v="310"/>
    <n v="142"/>
    <x v="0"/>
    <n v="350"/>
    <x v="0"/>
    <n v="7"/>
    <s v="6.0–7.9 s"/>
    <n v="65"/>
    <x v="0"/>
    <s v="CCS"/>
    <n v="0"/>
    <s v="345"/>
    <n v="5"/>
    <s v="FWD"/>
    <s v="C - Medium"/>
    <n v="4290"/>
    <n v="1770"/>
    <n v="1570"/>
    <x v="0"/>
    <s v="https://ev-database.org/car/1919/BYD-DOLPHIN-604-kWh"/>
  </r>
  <r>
    <x v="6"/>
    <x v="63"/>
    <n v="150"/>
    <x v="0"/>
    <n v="30"/>
    <s v="0–30 kWh"/>
    <s v="Lithium-ion"/>
    <n v="94"/>
    <n v="175"/>
    <n v="136"/>
    <x v="0"/>
    <n v="190"/>
    <x v="2"/>
    <n v="11.1"/>
    <s v="8.0+ s"/>
    <n v="45"/>
    <x v="3"/>
    <s v="CCS"/>
    <n v="0"/>
    <s v="308"/>
    <n v="4"/>
    <s v="FWD"/>
    <s v="B - Compact"/>
    <n v="3990"/>
    <n v="1720"/>
    <n v="1590"/>
    <x v="0"/>
    <s v="https://ev-database.org/car/3193/BYD-DOLPHIN-SURF-30-kWh-Active"/>
  </r>
  <r>
    <x v="6"/>
    <x v="64"/>
    <n v="150"/>
    <x v="0"/>
    <n v="43.2"/>
    <s v="31–60 kWh"/>
    <s v="Lithium-ion"/>
    <n v="90"/>
    <n v="175"/>
    <n v="134"/>
    <x v="0"/>
    <n v="270"/>
    <x v="0"/>
    <n v="12.1"/>
    <s v="8.0+ s"/>
    <n v="60"/>
    <x v="0"/>
    <s v="CCS"/>
    <n v="0"/>
    <s v="308"/>
    <n v="4"/>
    <s v="FWD"/>
    <s v="B - Compact"/>
    <n v="3990"/>
    <n v="1720"/>
    <n v="1590"/>
    <x v="0"/>
    <s v="https://ev-database.org/car/3194/BYD-DOLPHIN-SURF-432-kWh-Boost"/>
  </r>
  <r>
    <x v="6"/>
    <x v="65"/>
    <n v="150"/>
    <x v="0"/>
    <n v="43.2"/>
    <s v="31–60 kWh"/>
    <s v="Lithium-ion"/>
    <n v="90"/>
    <n v="220"/>
    <n v="139"/>
    <x v="0"/>
    <n v="265"/>
    <x v="0"/>
    <n v="9.1"/>
    <s v="8.0+ s"/>
    <n v="60"/>
    <x v="0"/>
    <s v="CCS"/>
    <n v="0"/>
    <s v="308"/>
    <n v="4"/>
    <s v="FWD"/>
    <s v="B - Compact"/>
    <n v="3990"/>
    <n v="1720"/>
    <n v="1590"/>
    <x v="0"/>
    <s v="https://ev-database.org/car/3195/BYD-DOLPHIN-SURF-432-kWh-Comfort"/>
  </r>
  <r>
    <x v="6"/>
    <x v="66"/>
    <n v="220"/>
    <x v="1"/>
    <n v="61.4"/>
    <s v="61+ kWh"/>
    <s v="Lithium-ion"/>
    <n v="128"/>
    <n v="380"/>
    <n v="133"/>
    <x v="0"/>
    <n v="365"/>
    <x v="0"/>
    <n v="7.5"/>
    <s v="6.0–7.9 s"/>
    <n v="75"/>
    <x v="0"/>
    <s v="CCS"/>
    <n v="750"/>
    <s v="400"/>
    <n v="5"/>
    <s v="RWD"/>
    <s v="D - Large"/>
    <n v="4800"/>
    <n v="1875"/>
    <n v="1460"/>
    <x v="4"/>
    <s v="https://ev-database.org/car/3102/BYD-SEAL-614-kWh-RWD-Comfort"/>
  </r>
  <r>
    <x v="6"/>
    <x v="67"/>
    <n v="180"/>
    <x v="2"/>
    <n v="82.5"/>
    <s v="61+ kWh"/>
    <s v="Lithium-ion"/>
    <n v="172"/>
    <n v="670"/>
    <n v="159"/>
    <x v="0"/>
    <n v="445"/>
    <x v="1"/>
    <n v="3.8"/>
    <s v="0–3.9 s"/>
    <n v="100"/>
    <x v="2"/>
    <s v="CCS"/>
    <n v="1500"/>
    <s v="400"/>
    <n v="5"/>
    <s v="AWD"/>
    <s v="D - Large"/>
    <n v="4800"/>
    <n v="1875"/>
    <n v="1460"/>
    <x v="4"/>
    <s v="https://ev-database.org/car/2002/BYD-SEAL-825-kWh-AWD-Excellence"/>
  </r>
  <r>
    <x v="6"/>
    <x v="68"/>
    <n v="180"/>
    <x v="2"/>
    <n v="82.5"/>
    <s v="61+ kWh"/>
    <s v="Lithium-ion"/>
    <n v="172"/>
    <n v="360"/>
    <n v="145"/>
    <x v="0"/>
    <n v="480"/>
    <x v="1"/>
    <n v="5.9"/>
    <s v="4.0–5.9 s"/>
    <n v="100"/>
    <x v="2"/>
    <s v="CCS"/>
    <n v="750"/>
    <s v="400"/>
    <n v="5"/>
    <s v="RWD"/>
    <s v="D - Large"/>
    <n v="4800"/>
    <n v="1875"/>
    <n v="1460"/>
    <x v="4"/>
    <s v="https://ev-database.org/car/2001/BYD-SEAL-825-kWh-RWD-Design"/>
  </r>
  <r>
    <x v="6"/>
    <x v="69"/>
    <n v="175"/>
    <x v="2"/>
    <n v="71.8"/>
    <s v="61+ kWh"/>
    <s v="Lithium-ion"/>
    <n v="132"/>
    <n v="310"/>
    <n v="171"/>
    <x v="2"/>
    <n v="360"/>
    <x v="0"/>
    <n v="9.3000000000000007"/>
    <s v="8.0+ s"/>
    <n v="72"/>
    <x v="0"/>
    <s v="CCS"/>
    <n v="1300"/>
    <s v="552"/>
    <n v="5"/>
    <s v="FWD"/>
    <s v="JD - Large"/>
    <n v="4785"/>
    <n v="1890"/>
    <n v="1668"/>
    <x v="1"/>
    <s v="https://ev-database.org/car/2094/BYD-SEAL-U-718-kWh-Comfort"/>
  </r>
  <r>
    <x v="6"/>
    <x v="70"/>
    <n v="175"/>
    <x v="2"/>
    <n v="87"/>
    <s v="61+ kWh"/>
    <s v="Lithium-ion"/>
    <n v="160"/>
    <n v="330"/>
    <n v="174"/>
    <x v="2"/>
    <n v="425"/>
    <x v="1"/>
    <n v="9.6"/>
    <s v="8.0+ s"/>
    <n v="85"/>
    <x v="0"/>
    <s v="CCS"/>
    <n v="1300"/>
    <s v="552"/>
    <n v="5"/>
    <s v="FWD"/>
    <s v="JD - Large"/>
    <n v="4785"/>
    <n v="1890"/>
    <n v="1668"/>
    <x v="1"/>
    <s v="https://ev-database.org/car/2067/BYD-SEAL-U-87-kWh-Design"/>
  </r>
  <r>
    <x v="6"/>
    <x v="71"/>
    <n v="215"/>
    <x v="1"/>
    <n v="82.5"/>
    <s v="61+ kWh"/>
    <s v="Lithium-ion"/>
    <n v="172"/>
    <n v="690"/>
    <n v="181"/>
    <x v="2"/>
    <n v="400"/>
    <x v="0"/>
    <n v="4.5"/>
    <s v="4.0–5.9 s"/>
    <n v="115"/>
    <x v="2"/>
    <s v="CCS"/>
    <n v="1500"/>
    <s v="520"/>
    <n v="5"/>
    <s v="AWD"/>
    <s v="JD - Large"/>
    <n v="4830"/>
    <n v="1925"/>
    <n v="1620"/>
    <x v="1"/>
    <s v="https://ev-database.org/car/3071/BYD-SEALION-7-825-kWh-AWD-Design"/>
  </r>
  <r>
    <x v="6"/>
    <x v="72"/>
    <n v="215"/>
    <x v="1"/>
    <n v="82.5"/>
    <s v="61+ kWh"/>
    <s v="Lithium-ion"/>
    <n v="172"/>
    <n v="380"/>
    <n v="171"/>
    <x v="2"/>
    <n v="415"/>
    <x v="1"/>
    <n v="6.7"/>
    <s v="6.0–7.9 s"/>
    <n v="115"/>
    <x v="2"/>
    <s v="CCS"/>
    <n v="750"/>
    <s v="520"/>
    <n v="5"/>
    <s v="RWD"/>
    <s v="JD - Large"/>
    <n v="4830"/>
    <n v="1925"/>
    <n v="1620"/>
    <x v="1"/>
    <s v="https://ev-database.org/car/3070/BYD-SEALION-7-825-kWh-RWD-Comfort"/>
  </r>
  <r>
    <x v="6"/>
    <x v="73"/>
    <n v="215"/>
    <x v="1"/>
    <n v="91.3"/>
    <s v="61+ kWh"/>
    <s v="Lithium-ion"/>
    <m/>
    <n v="690"/>
    <n v="182"/>
    <x v="2"/>
    <n v="430"/>
    <x v="1"/>
    <n v="4.5"/>
    <s v="4.0–5.9 s"/>
    <n v="165"/>
    <x v="1"/>
    <s v="CCS"/>
    <n v="1500"/>
    <s v="520"/>
    <n v="5"/>
    <s v="AWD"/>
    <s v="JD - Large"/>
    <n v="4830"/>
    <n v="1925"/>
    <n v="1620"/>
    <x v="1"/>
    <s v="https://ev-database.org/car/3072/BYD-SEALION-7-913-kWh-AWD-Excellence"/>
  </r>
  <r>
    <x v="6"/>
    <x v="74"/>
    <n v="190"/>
    <x v="2"/>
    <n v="108.8"/>
    <s v="61+ kWh"/>
    <s v="Lithium-ion"/>
    <m/>
    <n v="700"/>
    <n v="205"/>
    <x v="2"/>
    <n v="460"/>
    <x v="1"/>
    <n v="4.9000000000000004"/>
    <s v="4.0–5.9 s"/>
    <n v="100"/>
    <x v="2"/>
    <s v="CCS"/>
    <n v="1500"/>
    <s v="235"/>
    <n v="7"/>
    <s v="AWD"/>
    <s v="JE - Executive"/>
    <n v="4970"/>
    <n v="1955"/>
    <n v="1745"/>
    <x v="1"/>
    <s v="https://ev-database.org/car/2095/BYD-TANG-Flagship"/>
  </r>
  <r>
    <x v="7"/>
    <x v="75"/>
    <n v="160"/>
    <x v="0"/>
    <n v="59"/>
    <s v="31–60 kWh"/>
    <s v="Lithium-ion"/>
    <n v="216"/>
    <n v="310"/>
    <n v="156"/>
    <x v="0"/>
    <n v="360"/>
    <x v="0"/>
    <n v="6.7"/>
    <s v="6.0–7.9 s"/>
    <n v="110"/>
    <x v="2"/>
    <s v="CCS"/>
    <n v="0"/>
    <s v="385"/>
    <n v="5"/>
    <s v="RWD"/>
    <s v="C - Medium"/>
    <n v="4322"/>
    <n v="1809"/>
    <n v="1540"/>
    <x v="0"/>
    <s v="https://ev-database.org/car/2233/CUPRA-Born-170-kW---59-kWh"/>
  </r>
  <r>
    <x v="7"/>
    <x v="76"/>
    <n v="160"/>
    <x v="0"/>
    <n v="77"/>
    <s v="61+ kWh"/>
    <s v="Lithium-ion"/>
    <n v="288"/>
    <n v="310"/>
    <n v="157"/>
    <x v="0"/>
    <n v="460"/>
    <x v="1"/>
    <n v="7"/>
    <s v="6.0–7.9 s"/>
    <n v="125"/>
    <x v="2"/>
    <s v="CCS"/>
    <n v="0"/>
    <s v="385"/>
    <n v="5"/>
    <s v="RWD"/>
    <s v="C - Medium"/>
    <n v="4322"/>
    <n v="1809"/>
    <n v="1540"/>
    <x v="0"/>
    <s v="https://ev-database.org/car/2234/CUPRA-Born-170-kW---77-kWh"/>
  </r>
  <r>
    <x v="7"/>
    <x v="77"/>
    <n v="200"/>
    <x v="1"/>
    <n v="79"/>
    <s v="61+ kWh"/>
    <s v="Lithium-ion"/>
    <n v="288"/>
    <n v="545"/>
    <n v="149"/>
    <x v="0"/>
    <n v="465"/>
    <x v="1"/>
    <n v="5.6"/>
    <s v="4.0–5.9 s"/>
    <n v="135"/>
    <x v="2"/>
    <s v="CCS"/>
    <n v="0"/>
    <s v="385"/>
    <n v="5"/>
    <s v="RWD"/>
    <s v="C - Medium"/>
    <n v="4322"/>
    <n v="1809"/>
    <n v="1538"/>
    <x v="0"/>
    <s v="https://ev-database.org/car/2128/CUPRA-Born-VZ"/>
  </r>
  <r>
    <x v="7"/>
    <x v="78"/>
    <n v="180"/>
    <x v="2"/>
    <n v="77"/>
    <s v="61+ kWh"/>
    <s v="Lithium-ion"/>
    <n v="288"/>
    <n v="545"/>
    <n v="142"/>
    <x v="0"/>
    <n v="445"/>
    <x v="1"/>
    <n v="6.8"/>
    <s v="6.0–7.9 s"/>
    <n v="120"/>
    <x v="2"/>
    <s v="CCS"/>
    <n v="1000"/>
    <s v="540"/>
    <n v="5"/>
    <s v="RWD"/>
    <s v="JC - Medium"/>
    <n v="4644"/>
    <n v="1861"/>
    <n v="1597"/>
    <x v="1"/>
    <s v="https://ev-database.org/car/1971/CUPRA-Tavascan-Endurance"/>
  </r>
  <r>
    <x v="7"/>
    <x v="79"/>
    <n v="180"/>
    <x v="2"/>
    <n v="77"/>
    <s v="61+ kWh"/>
    <s v="Lithium-ion"/>
    <n v="288"/>
    <n v="545"/>
    <n v="150"/>
    <x v="0"/>
    <n v="425"/>
    <x v="1"/>
    <n v="5.5"/>
    <s v="4.0–5.9 s"/>
    <n v="120"/>
    <x v="2"/>
    <s v="CCS"/>
    <n v="1200"/>
    <s v="540"/>
    <n v="5"/>
    <s v="AWD"/>
    <s v="JC - Medium"/>
    <n v="4644"/>
    <n v="1861"/>
    <n v="1597"/>
    <x v="1"/>
    <s v="https://ev-database.org/car/1972/CUPRA-Tavascan-VZ"/>
  </r>
  <r>
    <x v="8"/>
    <x v="80"/>
    <n v="210"/>
    <x v="1"/>
    <n v="102"/>
    <s v="61+ kWh"/>
    <s v="Lithium-ion"/>
    <n v="288"/>
    <n v="610"/>
    <n v="192"/>
    <x v="2"/>
    <n v="460"/>
    <x v="1"/>
    <n v="5.3"/>
    <s v="4.0–5.9 s"/>
    <n v="165"/>
    <x v="1"/>
    <s v="CCS"/>
    <n v="1587"/>
    <s v="793"/>
    <n v="5"/>
    <s v="AWD"/>
    <s v="JF - Luxury"/>
    <n v="5005"/>
    <n v="1977"/>
    <n v="1623"/>
    <x v="1"/>
    <s v="https://ev-database.org/car/2243/Cadillac-Lyriq-600-E4"/>
  </r>
  <r>
    <x v="9"/>
    <x v="81"/>
    <n v="132"/>
    <x v="5"/>
    <n v="50"/>
    <s v="31–60 kWh"/>
    <s v="Lithium-ion"/>
    <m/>
    <n v="260"/>
    <n v="149"/>
    <x v="0"/>
    <n v="235"/>
    <x v="0"/>
    <n v="11.7"/>
    <s v="8.0+ s"/>
    <n v="80"/>
    <x v="0"/>
    <s v="CCS"/>
    <n v="750"/>
    <s v="775"/>
    <n v="5"/>
    <s v="FWD"/>
    <s v="N - Passenger Van"/>
    <n v="4403"/>
    <n v="1921"/>
    <n v="1803"/>
    <x v="5"/>
    <s v="https://ev-database.org/car/2159/Citroen-e-Berlingo-M-50-kWh"/>
  </r>
  <r>
    <x v="9"/>
    <x v="82"/>
    <n v="132"/>
    <x v="5"/>
    <n v="50"/>
    <s v="31–60 kWh"/>
    <s v="Lithium-ion"/>
    <m/>
    <n v="260"/>
    <n v="149"/>
    <x v="0"/>
    <n v="230"/>
    <x v="0"/>
    <n v="11.7"/>
    <s v="8.0+ s"/>
    <n v="80"/>
    <x v="0"/>
    <s v="CCS"/>
    <n v="750"/>
    <s v="1050"/>
    <n v="7"/>
    <s v="FWD"/>
    <s v="N - Passenger Van"/>
    <n v="4753"/>
    <n v="1921"/>
    <n v="1814"/>
    <x v="5"/>
    <s v="https://ev-database.org/car/2160/Citroen-e-Berlingo-XL-50-kWh"/>
  </r>
  <r>
    <x v="9"/>
    <x v="83"/>
    <n v="135"/>
    <x v="5"/>
    <n v="44"/>
    <s v="31–60 kWh"/>
    <s v="Lithium-ion"/>
    <m/>
    <n v="120"/>
    <n v="135"/>
    <x v="0"/>
    <n v="255"/>
    <x v="0"/>
    <n v="11.5"/>
    <s v="8.0+ s"/>
    <n v="60"/>
    <x v="0"/>
    <s v="CCS"/>
    <n v="550"/>
    <s v="310"/>
    <n v="5"/>
    <s v="FWD"/>
    <s v="B - Compact"/>
    <n v="4015"/>
    <n v="1755"/>
    <n v="1577"/>
    <x v="0"/>
    <s v="https://ev-database.org/car/2039/Citroen-e-C3"/>
  </r>
  <r>
    <x v="9"/>
    <x v="84"/>
    <n v="145"/>
    <x v="5"/>
    <n v="44"/>
    <s v="31–60 kWh"/>
    <s v="Lithium-ion"/>
    <m/>
    <n v="125"/>
    <n v="144"/>
    <x v="0"/>
    <n v="240"/>
    <x v="0"/>
    <n v="12.9"/>
    <s v="8.0+ s"/>
    <n v="60"/>
    <x v="0"/>
    <s v="CCS"/>
    <n v="350"/>
    <s v="460"/>
    <n v="5"/>
    <s v="FWD"/>
    <s v="JB - Compact"/>
    <n v="4395"/>
    <n v="1795"/>
    <n v="1660"/>
    <x v="1"/>
    <s v="https://ev-database.org/car/2224/Citroen-e-C3-Aircross"/>
  </r>
  <r>
    <x v="9"/>
    <x v="85"/>
    <n v="150"/>
    <x v="0"/>
    <n v="46.3"/>
    <s v="31–60 kWh"/>
    <s v="Lithium-ion"/>
    <n v="216"/>
    <n v="260"/>
    <n v="135"/>
    <x v="0"/>
    <n v="285"/>
    <x v="0"/>
    <n v="9.9"/>
    <s v="8.0+ s"/>
    <n v="78"/>
    <x v="0"/>
    <s v="CCS"/>
    <n v="0"/>
    <s v="380"/>
    <n v="5"/>
    <s v="FWD"/>
    <s v="C - Medium"/>
    <n v="4360"/>
    <n v="1834"/>
    <n v="1525"/>
    <x v="0"/>
    <s v="https://ev-database.org/car/3047/Citroen-e-C4"/>
  </r>
  <r>
    <x v="9"/>
    <x v="86"/>
    <n v="150"/>
    <x v="0"/>
    <n v="50.8"/>
    <s v="31–60 kWh"/>
    <s v="Lithium-ion"/>
    <n v="102"/>
    <n v="260"/>
    <n v="122"/>
    <x v="1"/>
    <n v="325"/>
    <x v="0"/>
    <n v="9.1"/>
    <s v="8.0+ s"/>
    <n v="78"/>
    <x v="0"/>
    <s v="CCS"/>
    <n v="0"/>
    <s v="380"/>
    <n v="5"/>
    <s v="FWD"/>
    <s v="C - Medium"/>
    <n v="4360"/>
    <n v="1834"/>
    <n v="1525"/>
    <x v="0"/>
    <s v="https://ev-database.org/car/3048/Citroen-e-C4-54-kWh"/>
  </r>
  <r>
    <x v="9"/>
    <x v="87"/>
    <n v="150"/>
    <x v="0"/>
    <n v="46.3"/>
    <s v="31–60 kWh"/>
    <s v="Lithium-ion"/>
    <n v="216"/>
    <n v="260"/>
    <n v="132"/>
    <x v="0"/>
    <n v="290"/>
    <x v="0"/>
    <n v="9.9"/>
    <s v="8.0+ s"/>
    <n v="78"/>
    <x v="0"/>
    <s v="CCS"/>
    <n v="0"/>
    <s v="510"/>
    <n v="5"/>
    <s v="FWD"/>
    <s v="C - Medium"/>
    <n v="4600"/>
    <n v="1834"/>
    <n v="1525"/>
    <x v="4"/>
    <s v="https://ev-database.org/car/3049/Citroen-e-C4-X"/>
  </r>
  <r>
    <x v="9"/>
    <x v="88"/>
    <n v="150"/>
    <x v="0"/>
    <n v="50.8"/>
    <s v="31–60 kWh"/>
    <s v="Lithium-ion"/>
    <n v="102"/>
    <n v="260"/>
    <n v="119"/>
    <x v="1"/>
    <n v="335"/>
    <x v="0"/>
    <n v="9.1"/>
    <s v="8.0+ s"/>
    <n v="78"/>
    <x v="0"/>
    <s v="CCS"/>
    <n v="0"/>
    <s v="510"/>
    <n v="5"/>
    <s v="FWD"/>
    <s v="C - Medium"/>
    <n v="4600"/>
    <n v="1834"/>
    <n v="1525"/>
    <x v="4"/>
    <s v="https://ev-database.org/car/3050/Citroen-e-C4-X-54-kWh"/>
  </r>
  <r>
    <x v="9"/>
    <x v="89"/>
    <n v="130"/>
    <x v="5"/>
    <n v="46.3"/>
    <s v="31–60 kWh"/>
    <s v="Lithium-ion"/>
    <n v="216"/>
    <n v="220"/>
    <n v="217"/>
    <x v="2"/>
    <n v="180"/>
    <x v="2"/>
    <n v="13.3"/>
    <s v="8.0+ s"/>
    <n v="78"/>
    <x v="0"/>
    <s v="CCS"/>
    <n v="1000"/>
    <s v="603"/>
    <n v="9"/>
    <s v="FWD"/>
    <s v="N - Passenger Van"/>
    <n v="4983"/>
    <n v="1920"/>
    <n v="1890"/>
    <x v="5"/>
    <s v="https://ev-database.org/car/2252/Citroen-e-SpaceTourer-M-50-kWh"/>
  </r>
  <r>
    <x v="9"/>
    <x v="90"/>
    <n v="130"/>
    <x v="5"/>
    <n v="68"/>
    <s v="61+ kWh"/>
    <s v="Lithium-ion"/>
    <n v="324"/>
    <n v="220"/>
    <n v="202"/>
    <x v="2"/>
    <n v="260"/>
    <x v="0"/>
    <n v="14.2"/>
    <s v="8.0+ s"/>
    <n v="79"/>
    <x v="0"/>
    <s v="CCS"/>
    <n v="1000"/>
    <s v="603"/>
    <n v="9"/>
    <s v="FWD"/>
    <s v="N - Passenger Van"/>
    <n v="4983"/>
    <n v="1920"/>
    <n v="1890"/>
    <x v="5"/>
    <s v="https://ev-database.org/car/2254/Citroen-e-SpaceTourer-M-75-kWh"/>
  </r>
  <r>
    <x v="9"/>
    <x v="91"/>
    <n v="130"/>
    <x v="5"/>
    <n v="46.3"/>
    <s v="31–60 kWh"/>
    <s v="Lithium-ion"/>
    <n v="216"/>
    <n v="220"/>
    <n v="219"/>
    <x v="2"/>
    <n v="180"/>
    <x v="2"/>
    <n v="13.3"/>
    <s v="8.0+ s"/>
    <n v="78"/>
    <x v="0"/>
    <s v="CCS"/>
    <n v="1000"/>
    <s v="989"/>
    <n v="9"/>
    <s v="FWD"/>
    <s v="N - Passenger Van"/>
    <n v="5333"/>
    <n v="1920"/>
    <n v="1890"/>
    <x v="5"/>
    <s v="https://ev-database.org/car/2253/Citroen-e-SpaceTourer-XL-50-kWh"/>
  </r>
  <r>
    <x v="9"/>
    <x v="92"/>
    <n v="130"/>
    <x v="5"/>
    <n v="68"/>
    <s v="61+ kWh"/>
    <s v="Lithium-ion"/>
    <n v="324"/>
    <n v="220"/>
    <n v="204"/>
    <x v="2"/>
    <n v="260"/>
    <x v="0"/>
    <n v="14.2"/>
    <s v="8.0+ s"/>
    <n v="79"/>
    <x v="0"/>
    <s v="CCS"/>
    <n v="1000"/>
    <s v="989"/>
    <n v="9"/>
    <s v="FWD"/>
    <s v="N - Passenger Van"/>
    <n v="5333"/>
    <n v="1920"/>
    <n v="1890"/>
    <x v="5"/>
    <s v="https://ev-database.org/car/2255/Citroen-e-SpaceTourer-XL-75-kWh"/>
  </r>
  <r>
    <x v="10"/>
    <x v="93"/>
    <n v="150"/>
    <x v="0"/>
    <n v="50.8"/>
    <s v="31–60 kWh"/>
    <s v="Lithium-ion"/>
    <n v="102"/>
    <n v="260"/>
    <n v="128"/>
    <x v="1"/>
    <n v="300"/>
    <x v="0"/>
    <n v="9"/>
    <s v="8.0+ s"/>
    <n v="85"/>
    <x v="0"/>
    <s v="CCS"/>
    <n v="0"/>
    <s v="350"/>
    <n v="5"/>
    <s v="FWD"/>
    <s v="JB - Compact"/>
    <n v="4118"/>
    <n v="1802"/>
    <n v="1534"/>
    <x v="1"/>
    <s v="https://ev-database.org/car/1791/DS-3-E-Tense"/>
  </r>
  <r>
    <x v="10"/>
    <x v="94"/>
    <n v="160"/>
    <x v="0"/>
    <n v="58.3"/>
    <s v="31–60 kWh"/>
    <s v="Lithium-ion"/>
    <m/>
    <n v="345"/>
    <n v="130"/>
    <x v="1"/>
    <n v="375"/>
    <x v="0"/>
    <n v="7.1"/>
    <s v="6.0–7.9 s"/>
    <n v="70"/>
    <x v="0"/>
    <s v="CCS"/>
    <n v="0"/>
    <s v="390"/>
    <n v="5"/>
    <s v="FWD"/>
    <s v="JC - Medium"/>
    <n v="4400"/>
    <n v="1866"/>
    <n v="1470"/>
    <x v="0"/>
    <s v="https://ev-database.org/car/3200/DS-N4-E-Tense"/>
  </r>
  <r>
    <x v="10"/>
    <x v="95"/>
    <n v="190"/>
    <x v="2"/>
    <n v="97.2"/>
    <s v="61+ kWh"/>
    <s v="Lithium-ion"/>
    <m/>
    <n v="511"/>
    <n v="146"/>
    <x v="0"/>
    <n v="530"/>
    <x v="1"/>
    <n v="5.4"/>
    <s v="4.0–5.9 s"/>
    <n v="130"/>
    <x v="2"/>
    <s v="CCS"/>
    <n v="1400"/>
    <s v="620"/>
    <n v="5"/>
    <s v="AWD"/>
    <s v="JD - Large"/>
    <n v="4834"/>
    <n v="1920"/>
    <n v="1574"/>
    <x v="1"/>
    <s v="https://ev-database.org/car/3078/DS-N8-AWD-Long-Range"/>
  </r>
  <r>
    <x v="10"/>
    <x v="96"/>
    <n v="190"/>
    <x v="2"/>
    <n v="73.7"/>
    <s v="61+ kWh"/>
    <s v="Lithium-ion"/>
    <m/>
    <n v="345"/>
    <n v="141"/>
    <x v="0"/>
    <n v="415"/>
    <x v="1"/>
    <n v="7.7"/>
    <s v="6.0–7.9 s"/>
    <n v="100"/>
    <x v="2"/>
    <s v="CCS"/>
    <n v="1260"/>
    <s v="620"/>
    <n v="5"/>
    <s v="FWD"/>
    <s v="JD - Large"/>
    <n v="4834"/>
    <n v="1920"/>
    <n v="1574"/>
    <x v="1"/>
    <s v="https://ev-database.org/car/3076/DS-N8-FWD"/>
  </r>
  <r>
    <x v="10"/>
    <x v="97"/>
    <n v="190"/>
    <x v="2"/>
    <n v="97.2"/>
    <s v="61+ kWh"/>
    <s v="Lithium-ion"/>
    <m/>
    <n v="345"/>
    <n v="136"/>
    <x v="0"/>
    <n v="545"/>
    <x v="1"/>
    <n v="7.8"/>
    <s v="6.0–7.9 s"/>
    <n v="130"/>
    <x v="2"/>
    <s v="CCS"/>
    <n v="1200"/>
    <s v="620"/>
    <n v="5"/>
    <s v="FWD"/>
    <s v="JD - Large"/>
    <n v="4834"/>
    <n v="1920"/>
    <n v="1574"/>
    <x v="1"/>
    <s v="https://ev-database.org/car/3077/DS-N8-FWD-Long-Range"/>
  </r>
  <r>
    <x v="11"/>
    <x v="98"/>
    <n v="125"/>
    <x v="5"/>
    <n v="25"/>
    <s v="0–30 kWh"/>
    <s v="Lithium-ion"/>
    <n v="72"/>
    <n v="125"/>
    <n v="109"/>
    <x v="1"/>
    <n v="165"/>
    <x v="2"/>
    <n v="19.100000000000001"/>
    <s v="8.0+ s"/>
    <n v="29"/>
    <x v="3"/>
    <s v="CCS"/>
    <n v="0"/>
    <s v="308"/>
    <n v="4"/>
    <s v="FWD"/>
    <s v="A - Mini"/>
    <n v="3700"/>
    <n v="1622"/>
    <n v="1516"/>
    <x v="0"/>
    <s v="https://ev-database.org/car/2126/Dacia-Spring-Electric-45"/>
  </r>
  <r>
    <x v="11"/>
    <x v="99"/>
    <n v="125"/>
    <x v="5"/>
    <n v="25"/>
    <s v="0–30 kWh"/>
    <s v="Lithium-ion"/>
    <n v="72"/>
    <n v="113"/>
    <n v="114"/>
    <x v="1"/>
    <n v="160"/>
    <x v="2"/>
    <n v="13.7"/>
    <s v="8.0+ s"/>
    <n v="29"/>
    <x v="3"/>
    <s v="CCS"/>
    <n v="0"/>
    <s v="308"/>
    <n v="4"/>
    <s v="FWD"/>
    <s v="A - Mini"/>
    <n v="3700"/>
    <n v="1622"/>
    <n v="1516"/>
    <x v="0"/>
    <s v="https://ev-database.org/car/2127/Dacia-Spring-Electric-65"/>
  </r>
  <r>
    <x v="12"/>
    <x v="100"/>
    <n v="140"/>
    <x v="5"/>
    <n v="29"/>
    <s v="0–30 kWh"/>
    <s v="Lithium-ion"/>
    <m/>
    <n v="160"/>
    <n v="126"/>
    <x v="1"/>
    <n v="190"/>
    <x v="2"/>
    <n v="12.5"/>
    <s v="8.0+ s"/>
    <n v="50"/>
    <x v="0"/>
    <s v="CCS"/>
    <m/>
    <s v="326"/>
    <n v="5"/>
    <s v="FWD"/>
    <s v="B - Compact"/>
    <n v="4020"/>
    <n v="1810"/>
    <n v="1570"/>
    <x v="0"/>
    <s v="https://ev-database.org/car/3035/Dongfeng-Box-314-kWh"/>
  </r>
  <r>
    <x v="12"/>
    <x v="101"/>
    <n v="140"/>
    <x v="5"/>
    <n v="40"/>
    <s v="31–60 kWh"/>
    <s v="Lithium-ion"/>
    <m/>
    <n v="160"/>
    <n v="129"/>
    <x v="1"/>
    <n v="255"/>
    <x v="0"/>
    <n v="12.5"/>
    <s v="8.0+ s"/>
    <n v="51"/>
    <x v="0"/>
    <s v="CCS"/>
    <m/>
    <s v="326"/>
    <n v="5"/>
    <s v="FWD"/>
    <s v="B - Compact"/>
    <n v="4020"/>
    <n v="1810"/>
    <n v="1570"/>
    <x v="0"/>
    <s v="https://ev-database.org/car/3036/Dongfeng-Box-423-kWh"/>
  </r>
  <r>
    <x v="13"/>
    <x v="102"/>
    <n v="150"/>
    <x v="0"/>
    <n v="81"/>
    <s v="61+ kWh"/>
    <s v="Lithium-ion"/>
    <m/>
    <n v="320"/>
    <n v="203"/>
    <x v="2"/>
    <n v="390"/>
    <x v="0"/>
    <n v="9.5"/>
    <s v="8.0+ s"/>
    <n v="65"/>
    <x v="0"/>
    <s v="CCS"/>
    <m/>
    <s v="467"/>
    <n v="5"/>
    <s v="FWD"/>
    <s v="JD - Large"/>
    <n v="4698"/>
    <n v="1908"/>
    <n v="1696"/>
    <x v="1"/>
    <s v="https://ev-database.org/car/1975/Elaris-BEO-86-kWh"/>
  </r>
  <r>
    <x v="14"/>
    <x v="103"/>
    <n v="135"/>
    <x v="5"/>
    <n v="21.3"/>
    <s v="0–30 kWh"/>
    <s v="Lithium-ion"/>
    <n v="108"/>
    <n v="220"/>
    <n v="112"/>
    <x v="1"/>
    <n v="135"/>
    <x v="2"/>
    <n v="9"/>
    <s v="8.0+ s"/>
    <n v="40"/>
    <x v="3"/>
    <s v="CCS"/>
    <n v="0"/>
    <s v="185"/>
    <n v="4"/>
    <s v="FWD"/>
    <s v="B - Compact"/>
    <n v="3631"/>
    <n v="1683"/>
    <n v="1529"/>
    <x v="0"/>
    <s v="https://ev-database.org/car/1726/Fiat-500e-3plus1-24-kWh"/>
  </r>
  <r>
    <x v="14"/>
    <x v="104"/>
    <n v="150"/>
    <x v="0"/>
    <n v="37.299999999999997"/>
    <s v="31–60 kWh"/>
    <s v="Lithium-ion"/>
    <n v="192"/>
    <n v="220"/>
    <n v="122"/>
    <x v="1"/>
    <n v="235"/>
    <x v="0"/>
    <n v="9"/>
    <s v="8.0+ s"/>
    <n v="67"/>
    <x v="0"/>
    <s v="CCS"/>
    <n v="0"/>
    <s v="185"/>
    <n v="4"/>
    <s v="FWD"/>
    <s v="B - Compact"/>
    <n v="3631"/>
    <n v="1683"/>
    <n v="1529"/>
    <x v="0"/>
    <s v="https://ev-database.org/car/1328/Fiat-500e-3plus1-42-kWh"/>
  </r>
  <r>
    <x v="14"/>
    <x v="105"/>
    <n v="135"/>
    <x v="5"/>
    <n v="21.3"/>
    <s v="0–30 kWh"/>
    <s v="Lithium-ion"/>
    <n v="108"/>
    <n v="220"/>
    <n v="112"/>
    <x v="1"/>
    <n v="135"/>
    <x v="2"/>
    <n v="9"/>
    <s v="8.0+ s"/>
    <n v="40"/>
    <x v="3"/>
    <s v="CCS"/>
    <n v="0"/>
    <s v="185"/>
    <n v="4"/>
    <s v="FWD"/>
    <s v="B - Compact"/>
    <n v="3631"/>
    <n v="1683"/>
    <n v="1529"/>
    <x v="6"/>
    <s v="https://ev-database.org/car/1727/Fiat-500e-Cabrio-24-kWh"/>
  </r>
  <r>
    <x v="14"/>
    <x v="106"/>
    <n v="150"/>
    <x v="0"/>
    <n v="37.299999999999997"/>
    <s v="31–60 kWh"/>
    <s v="Lithium-ion"/>
    <n v="192"/>
    <n v="220"/>
    <n v="125"/>
    <x v="1"/>
    <n v="230"/>
    <x v="0"/>
    <n v="9"/>
    <s v="8.0+ s"/>
    <n v="67"/>
    <x v="0"/>
    <s v="CCS"/>
    <n v="0"/>
    <s v="185"/>
    <n v="4"/>
    <s v="FWD"/>
    <s v="B - Compact"/>
    <n v="3631"/>
    <n v="1683"/>
    <n v="1529"/>
    <x v="6"/>
    <s v="https://ev-database.org/car/1275/Fiat-500e-Cabrio-42-kWh"/>
  </r>
  <r>
    <x v="14"/>
    <x v="107"/>
    <n v="135"/>
    <x v="5"/>
    <n v="21.3"/>
    <s v="0–30 kWh"/>
    <s v="Lithium-ion"/>
    <n v="108"/>
    <n v="220"/>
    <n v="112"/>
    <x v="1"/>
    <n v="135"/>
    <x v="2"/>
    <n v="9"/>
    <s v="8.0+ s"/>
    <n v="40"/>
    <x v="3"/>
    <s v="CCS"/>
    <n v="0"/>
    <s v="185"/>
    <n v="4"/>
    <s v="FWD"/>
    <s v="B - Compact"/>
    <n v="3631"/>
    <n v="1683"/>
    <n v="1529"/>
    <x v="0"/>
    <s v="https://ev-database.org/car/1327/Fiat-500e-Hatchback-24-kWh"/>
  </r>
  <r>
    <x v="14"/>
    <x v="108"/>
    <n v="150"/>
    <x v="0"/>
    <n v="37.299999999999997"/>
    <s v="31–60 kWh"/>
    <s v="Lithium-ion"/>
    <n v="192"/>
    <n v="220"/>
    <n v="118"/>
    <x v="1"/>
    <n v="235"/>
    <x v="0"/>
    <n v="9"/>
    <s v="8.0+ s"/>
    <n v="67"/>
    <x v="0"/>
    <s v="CCS"/>
    <n v="0"/>
    <s v="185"/>
    <n v="4"/>
    <s v="FWD"/>
    <s v="B - Compact"/>
    <n v="3631"/>
    <n v="1683"/>
    <n v="1529"/>
    <x v="0"/>
    <s v="https://ev-database.org/car/1285/Fiat-500e-Hatchback-42-kWh"/>
  </r>
  <r>
    <x v="14"/>
    <x v="109"/>
    <n v="150"/>
    <x v="0"/>
    <n v="50.8"/>
    <s v="31–60 kWh"/>
    <s v="Lithium-ion"/>
    <n v="102"/>
    <n v="260"/>
    <n v="124"/>
    <x v="1"/>
    <n v="310"/>
    <x v="0"/>
    <n v="9"/>
    <s v="8.0+ s"/>
    <n v="79"/>
    <x v="0"/>
    <s v="CCS"/>
    <n v="0"/>
    <s v="360"/>
    <n v="5"/>
    <s v="FWD"/>
    <s v="JB - Compact"/>
    <n v="4171"/>
    <n v="1781"/>
    <n v="1523"/>
    <x v="1"/>
    <s v="https://ev-database.org/car/1945/Fiat-600e"/>
  </r>
  <r>
    <x v="14"/>
    <x v="110"/>
    <n v="132"/>
    <x v="5"/>
    <n v="43.8"/>
    <s v="31–60 kWh"/>
    <s v="Lithium-ion"/>
    <m/>
    <n v="122"/>
    <n v="136"/>
    <x v="0"/>
    <n v="260"/>
    <x v="0"/>
    <n v="11"/>
    <s v="8.0+ s"/>
    <n v="60"/>
    <x v="0"/>
    <s v="CCS"/>
    <n v="550"/>
    <s v="361"/>
    <n v="5"/>
    <s v="FWD"/>
    <s v="B - Compact"/>
    <n v="3999"/>
    <n v="1763"/>
    <n v="1570"/>
    <x v="0"/>
    <s v="https://ev-database.org/car/2251/Fiat-Grande-Panda"/>
  </r>
  <r>
    <x v="15"/>
    <x v="111"/>
    <n v="180"/>
    <x v="2"/>
    <n v="79"/>
    <s v="61+ kWh"/>
    <s v="Lithium-ion"/>
    <n v="288"/>
    <n v="679"/>
    <n v="148"/>
    <x v="0"/>
    <n v="455"/>
    <x v="1"/>
    <n v="5.3"/>
    <s v="4.0–5.9 s"/>
    <n v="135"/>
    <x v="2"/>
    <s v="CCS"/>
    <n v="1200"/>
    <s v="572"/>
    <n v="5"/>
    <s v="AWD"/>
    <s v="D - Large"/>
    <n v="4643"/>
    <n v="1872"/>
    <n v="1626"/>
    <x v="3"/>
    <s v="https://ev-database.org/car/2242/Ford-Capri-Extended-Range-AWD"/>
  </r>
  <r>
    <x v="15"/>
    <x v="112"/>
    <n v="180"/>
    <x v="2"/>
    <n v="77"/>
    <s v="61+ kWh"/>
    <s v="Lithium-ion"/>
    <n v="288"/>
    <n v="545"/>
    <n v="135"/>
    <x v="0"/>
    <n v="455"/>
    <x v="1"/>
    <n v="6.4"/>
    <s v="6.0–7.9 s"/>
    <n v="120"/>
    <x v="2"/>
    <s v="CCS"/>
    <n v="1000"/>
    <s v="572"/>
    <n v="5"/>
    <s v="RWD"/>
    <s v="D - Large"/>
    <n v="4643"/>
    <n v="1872"/>
    <n v="1626"/>
    <x v="3"/>
    <s v="https://ev-database.org/car/2241/Ford-Capri-Extended-Range-RWD"/>
  </r>
  <r>
    <x v="15"/>
    <x v="113"/>
    <n v="160"/>
    <x v="0"/>
    <n v="52"/>
    <s v="31–60 kWh"/>
    <s v="Lithium-ion"/>
    <n v="192"/>
    <n v="310"/>
    <n v="163"/>
    <x v="2"/>
    <n v="320"/>
    <x v="0"/>
    <n v="9"/>
    <s v="8.0+ s"/>
    <n v="85"/>
    <x v="0"/>
    <s v="CCS"/>
    <n v="1000"/>
    <s v="572"/>
    <n v="5"/>
    <s v="RWD"/>
    <s v="D - Large"/>
    <n v="4643"/>
    <n v="1872"/>
    <n v="1626"/>
    <x v="3"/>
    <s v="https://ev-database.org/car/2240/Ford-Capri-Standard-Range-RWD"/>
  </r>
  <r>
    <x v="15"/>
    <x v="114"/>
    <n v="180"/>
    <x v="2"/>
    <n v="79"/>
    <s v="61+ kWh"/>
    <s v="Lithium-ion"/>
    <n v="288"/>
    <n v="679"/>
    <n v="153"/>
    <x v="0"/>
    <n v="440"/>
    <x v="1"/>
    <n v="5.3"/>
    <s v="4.0–5.9 s"/>
    <n v="135"/>
    <x v="2"/>
    <s v="CCS"/>
    <n v="1200"/>
    <s v="536"/>
    <n v="5"/>
    <s v="AWD"/>
    <s v="JC - Medium"/>
    <n v="4468"/>
    <n v="1871"/>
    <n v="1639"/>
    <x v="1"/>
    <s v="https://ev-database.org/car/2169/Ford-Explorer-Extended-Range-AWD"/>
  </r>
  <r>
    <x v="15"/>
    <x v="115"/>
    <n v="180"/>
    <x v="2"/>
    <n v="77"/>
    <s v="61+ kWh"/>
    <s v="Lithium-ion"/>
    <n v="288"/>
    <n v="545"/>
    <n v="139"/>
    <x v="0"/>
    <n v="435"/>
    <x v="1"/>
    <n v="6.4"/>
    <s v="6.0–7.9 s"/>
    <n v="120"/>
    <x v="2"/>
    <s v="CCS"/>
    <n v="1000"/>
    <s v="536"/>
    <n v="5"/>
    <s v="RWD"/>
    <s v="JC - Medium"/>
    <n v="4468"/>
    <n v="1871"/>
    <n v="1630"/>
    <x v="1"/>
    <s v="https://ev-database.org/car/2168/Ford-Explorer-Extended-Range-RWD"/>
  </r>
  <r>
    <x v="15"/>
    <x v="116"/>
    <n v="160"/>
    <x v="0"/>
    <n v="52"/>
    <s v="31–60 kWh"/>
    <s v="Lithium-ion"/>
    <n v="192"/>
    <n v="310"/>
    <n v="137"/>
    <x v="0"/>
    <n v="305"/>
    <x v="0"/>
    <n v="8.6999999999999993"/>
    <s v="8.0+ s"/>
    <n v="85"/>
    <x v="0"/>
    <s v="CCS"/>
    <n v="1000"/>
    <s v="536"/>
    <n v="5"/>
    <s v="RWD"/>
    <s v="JC - Medium"/>
    <n v="4468"/>
    <n v="1871"/>
    <n v="1630"/>
    <x v="1"/>
    <s v="https://ev-database.org/car/2167/Ford-Explorer-Standard-Range-RWD"/>
  </r>
  <r>
    <x v="15"/>
    <x v="117"/>
    <n v="180"/>
    <x v="2"/>
    <n v="88"/>
    <s v="61+ kWh"/>
    <s v="Lithium-ion"/>
    <m/>
    <n v="675"/>
    <n v="160"/>
    <x v="0"/>
    <n v="435"/>
    <x v="1"/>
    <n v="4.8"/>
    <s v="4.0–5.9 s"/>
    <n v="105"/>
    <x v="2"/>
    <s v="CCS"/>
    <n v="1500"/>
    <s v="519"/>
    <n v="5"/>
    <s v="AWD"/>
    <s v="JD - Large"/>
    <n v="4713"/>
    <n v="1881"/>
    <n v="1624"/>
    <x v="1"/>
    <s v="https://ev-database.org/car/3189/Ford-Mustang-Mach-E-ER-AWD"/>
  </r>
  <r>
    <x v="15"/>
    <x v="118"/>
    <n v="180"/>
    <x v="2"/>
    <n v="91"/>
    <s v="61+ kWh"/>
    <s v="Lithium-ion"/>
    <n v="376"/>
    <n v="675"/>
    <n v="165"/>
    <x v="2"/>
    <n v="445"/>
    <x v="1"/>
    <n v="4.5999999999999996"/>
    <s v="4.0–5.9 s"/>
    <n v="115"/>
    <x v="2"/>
    <s v="CCS"/>
    <n v="1500"/>
    <s v="519"/>
    <n v="5"/>
    <s v="AWD"/>
    <s v="JD - Large"/>
    <n v="4713"/>
    <n v="1881"/>
    <n v="1624"/>
    <x v="1"/>
    <s v="https://ev-database.org/car/2279/Ford-Mustang-Mach-E-ER-AWD"/>
  </r>
  <r>
    <x v="15"/>
    <x v="119"/>
    <n v="180"/>
    <x v="2"/>
    <n v="88"/>
    <s v="61+ kWh"/>
    <s v="Lithium-ion"/>
    <m/>
    <n v="525"/>
    <n v="147"/>
    <x v="0"/>
    <n v="475"/>
    <x v="1"/>
    <n v="6.1"/>
    <s v="6.0–7.9 s"/>
    <n v="105"/>
    <x v="2"/>
    <s v="CCS"/>
    <n v="1500"/>
    <s v="519"/>
    <n v="5"/>
    <s v="RWD"/>
    <s v="JD - Large"/>
    <n v="4713"/>
    <n v="1881"/>
    <n v="1624"/>
    <x v="1"/>
    <s v="https://ev-database.org/car/3188/Ford-Mustang-Mach-E-ER-RWD"/>
  </r>
  <r>
    <x v="15"/>
    <x v="120"/>
    <n v="180"/>
    <x v="2"/>
    <n v="91"/>
    <s v="61+ kWh"/>
    <s v="Lithium-ion"/>
    <n v="376"/>
    <n v="525"/>
    <n v="152"/>
    <x v="0"/>
    <n v="480"/>
    <x v="1"/>
    <n v="5.9"/>
    <s v="4.0–5.9 s"/>
    <n v="115"/>
    <x v="2"/>
    <s v="CCS"/>
    <n v="1500"/>
    <s v="519"/>
    <n v="5"/>
    <s v="RWD"/>
    <s v="JD - Large"/>
    <n v="4713"/>
    <n v="1881"/>
    <n v="1624"/>
    <x v="1"/>
    <s v="https://ev-database.org/car/2278/Ford-Mustang-Mach-E-ER-RWD"/>
  </r>
  <r>
    <x v="15"/>
    <x v="121"/>
    <n v="200"/>
    <x v="1"/>
    <n v="91"/>
    <s v="61+ kWh"/>
    <s v="Lithium-ion"/>
    <n v="376"/>
    <n v="950"/>
    <n v="177"/>
    <x v="2"/>
    <n v="425"/>
    <x v="1"/>
    <n v="3.8"/>
    <s v="0–3.9 s"/>
    <n v="115"/>
    <x v="2"/>
    <s v="CCS"/>
    <n v="750"/>
    <s v="519"/>
    <n v="5"/>
    <s v="AWD"/>
    <s v="JD - Large"/>
    <n v="4743"/>
    <n v="1881"/>
    <n v="1613"/>
    <x v="1"/>
    <s v="https://ev-database.org/car/2280/Ford-Mustang-Mach-E-GT"/>
  </r>
  <r>
    <x v="15"/>
    <x v="122"/>
    <n v="200"/>
    <x v="1"/>
    <n v="91"/>
    <s v="61+ kWh"/>
    <s v="Lithium-ion"/>
    <n v="376"/>
    <n v="950"/>
    <n v="177"/>
    <x v="2"/>
    <n v="435"/>
    <x v="1"/>
    <n v="3.8"/>
    <s v="0–3.9 s"/>
    <n v="115"/>
    <x v="2"/>
    <s v="CCS"/>
    <n v="750"/>
    <s v="519"/>
    <n v="5"/>
    <s v="AWD"/>
    <s v="JD - Large"/>
    <n v="4743"/>
    <n v="1881"/>
    <n v="1613"/>
    <x v="1"/>
    <s v="https://ev-database.org/car/3190/Ford-Mustang-Mach-E-GT"/>
  </r>
  <r>
    <x v="15"/>
    <x v="123"/>
    <n v="200"/>
    <x v="1"/>
    <n v="91"/>
    <s v="61+ kWh"/>
    <s v="Lithium-ion"/>
    <n v="376"/>
    <n v="950"/>
    <n v="178"/>
    <x v="2"/>
    <n v="415"/>
    <x v="1"/>
    <n v="3.9"/>
    <s v="0–3.9 s"/>
    <n v="115"/>
    <x v="2"/>
    <s v="CCS"/>
    <n v="750"/>
    <s v="519"/>
    <n v="5"/>
    <s v="AWD"/>
    <s v="JD - Large"/>
    <n v="4743"/>
    <n v="1881"/>
    <n v="1633"/>
    <x v="1"/>
    <s v="https://ev-database.org/car/3191/Ford-Mustang-Mach-E-Rally"/>
  </r>
  <r>
    <x v="15"/>
    <x v="124"/>
    <n v="200"/>
    <x v="1"/>
    <n v="91"/>
    <s v="61+ kWh"/>
    <s v="Lithium-ion"/>
    <n v="376"/>
    <n v="950"/>
    <n v="178"/>
    <x v="2"/>
    <n v="410"/>
    <x v="1"/>
    <n v="3.9"/>
    <s v="0–3.9 s"/>
    <n v="115"/>
    <x v="2"/>
    <s v="CCS"/>
    <n v="750"/>
    <s v="519"/>
    <n v="5"/>
    <s v="AWD"/>
    <s v="JD - Large"/>
    <n v="4743"/>
    <n v="1881"/>
    <n v="1633"/>
    <x v="1"/>
    <s v="https://ev-database.org/car/2275/Ford-Mustang-Mach-E-Rally"/>
  </r>
  <r>
    <x v="15"/>
    <x v="125"/>
    <n v="180"/>
    <x v="2"/>
    <n v="72.599999999999994"/>
    <s v="61+ kWh"/>
    <s v="Lithium-ion"/>
    <m/>
    <n v="525"/>
    <n v="154"/>
    <x v="0"/>
    <n v="385"/>
    <x v="0"/>
    <n v="6.2"/>
    <s v="6.0–7.9 s"/>
    <n v="100"/>
    <x v="2"/>
    <s v="CCS"/>
    <n v="750"/>
    <s v="519"/>
    <n v="5"/>
    <s v="RWD"/>
    <s v="JD - Large"/>
    <n v="4713"/>
    <n v="1881"/>
    <n v="1624"/>
    <x v="1"/>
    <s v="https://ev-database.org/car/2277/Ford-Mustang-Mach-E-SR-RWD"/>
  </r>
  <r>
    <x v="15"/>
    <x v="126"/>
    <n v="180"/>
    <x v="2"/>
    <n v="72.599999999999994"/>
    <s v="61+ kWh"/>
    <s v="Lithium-ion"/>
    <m/>
    <n v="525"/>
    <n v="154"/>
    <x v="0"/>
    <n v="380"/>
    <x v="0"/>
    <n v="6.2"/>
    <s v="6.0–7.9 s"/>
    <n v="100"/>
    <x v="2"/>
    <s v="CCS"/>
    <n v="750"/>
    <s v="519"/>
    <n v="5"/>
    <s v="RWD"/>
    <s v="JD - Large"/>
    <n v="4713"/>
    <n v="1881"/>
    <n v="1624"/>
    <x v="1"/>
    <s v="https://ev-database.org/car/3187/Ford-Mustang-Mach-E-SR-RWD"/>
  </r>
  <r>
    <x v="15"/>
    <x v="127"/>
    <n v="160"/>
    <x v="0"/>
    <n v="43.6"/>
    <s v="31–60 kWh"/>
    <s v="Lithium-ion"/>
    <m/>
    <n v="290"/>
    <n v="126"/>
    <x v="1"/>
    <n v="275"/>
    <x v="0"/>
    <n v="8"/>
    <s v="8.0+ s"/>
    <n v="85"/>
    <x v="0"/>
    <s v="CCS"/>
    <n v="750"/>
    <s v="523"/>
    <n v="5"/>
    <s v="FWD"/>
    <s v="JB - Compact"/>
    <n v="4214"/>
    <n v="1805"/>
    <n v="1555"/>
    <x v="1"/>
    <s v="https://ev-database.org/car/3073/Ford-Puma-Gen-E"/>
  </r>
  <r>
    <x v="15"/>
    <x v="128"/>
    <n v="145"/>
    <x v="5"/>
    <n v="43.6"/>
    <s v="31–60 kWh"/>
    <s v="Lithium-ion"/>
    <m/>
    <n v="290"/>
    <n v="164"/>
    <x v="2"/>
    <n v="200"/>
    <x v="2"/>
    <n v="11"/>
    <s v="8.0+ s"/>
    <n v="80"/>
    <x v="0"/>
    <s v="CCS"/>
    <n v="750"/>
    <s v=""/>
    <n v="5"/>
    <s v="FWD"/>
    <s v="N - Passenger Van"/>
    <n v="4337"/>
    <n v="1876"/>
    <n v="1817"/>
    <x v="5"/>
    <s v="https://ev-database.org/car/3166/Ford-e-Tourneo-Courier"/>
  </r>
  <r>
    <x v="15"/>
    <x v="129"/>
    <n v="130"/>
    <x v="5"/>
    <n v="64"/>
    <s v="61+ kWh"/>
    <s v="Lithium-ion"/>
    <m/>
    <n v="415"/>
    <n v="370"/>
    <x v="2"/>
    <n v="235"/>
    <x v="0"/>
    <n v="9"/>
    <s v="8.0+ s"/>
    <n v="70"/>
    <x v="0"/>
    <s v="CCS"/>
    <n v="2000"/>
    <s v="672"/>
    <n v="8"/>
    <s v="RWD"/>
    <s v="N - Passenger Van"/>
    <n v="5050"/>
    <n v="1999"/>
    <n v="1959"/>
    <x v="5"/>
    <s v="https://ev-database.org/car/3162/Ford-e-Tourneo-Custom-L1-160-kW"/>
  </r>
  <r>
    <x v="15"/>
    <x v="130"/>
    <n v="130"/>
    <x v="5"/>
    <n v="64"/>
    <s v="61+ kWh"/>
    <s v="Lithium-ion"/>
    <m/>
    <n v="415"/>
    <n v="370"/>
    <x v="2"/>
    <n v="235"/>
    <x v="0"/>
    <n v="8"/>
    <s v="8.0+ s"/>
    <n v="70"/>
    <x v="0"/>
    <s v="CCS"/>
    <n v="2000"/>
    <s v="672"/>
    <n v="8"/>
    <s v="RWD"/>
    <s v="N - Passenger Van"/>
    <n v="5050"/>
    <n v="1999"/>
    <n v="1959"/>
    <x v="5"/>
    <s v="https://ev-database.org/car/3163/Ford-e-Tourneo-Custom-L1-210-kW"/>
  </r>
  <r>
    <x v="15"/>
    <x v="131"/>
    <n v="150"/>
    <x v="0"/>
    <n v="64"/>
    <s v="61+ kWh"/>
    <s v="Lithium-ion"/>
    <m/>
    <n v="415"/>
    <n v="370"/>
    <x v="2"/>
    <n v="235"/>
    <x v="0"/>
    <n v="9"/>
    <s v="8.0+ s"/>
    <n v="70"/>
    <x v="0"/>
    <s v="CCS"/>
    <n v="2000"/>
    <s v="672"/>
    <n v="8"/>
    <s v="RWD"/>
    <s v="N - Passenger Van"/>
    <n v="5908"/>
    <n v="1999"/>
    <n v="1959"/>
    <x v="5"/>
    <s v="https://ev-database.org/car/3164/Ford-e-Tourneo-Custom-L2-160-kW"/>
  </r>
  <r>
    <x v="15"/>
    <x v="132"/>
    <n v="150"/>
    <x v="0"/>
    <n v="64"/>
    <s v="61+ kWh"/>
    <s v="Lithium-ion"/>
    <m/>
    <n v="415"/>
    <n v="370"/>
    <x v="2"/>
    <n v="235"/>
    <x v="0"/>
    <n v="8"/>
    <s v="8.0+ s"/>
    <n v="70"/>
    <x v="0"/>
    <s v="CCS"/>
    <n v="2000"/>
    <s v="672"/>
    <n v="8"/>
    <s v="RWD"/>
    <s v="N - Passenger Van"/>
    <n v="5908"/>
    <n v="1999"/>
    <n v="1959"/>
    <x v="5"/>
    <s v="https://ev-database.org/car/3165/Ford-e-Tourneo-Custom-L2-210-kW"/>
  </r>
  <r>
    <x v="16"/>
    <x v="133"/>
    <n v="160"/>
    <x v="0"/>
    <n v="45.4"/>
    <s v="31–60 kWh"/>
    <s v="Lithium-ion"/>
    <m/>
    <n v="250"/>
    <n v="146"/>
    <x v="0"/>
    <n v="260"/>
    <x v="0"/>
    <n v="8.3000000000000007"/>
    <s v="8.0+ s"/>
    <n v="45"/>
    <x v="3"/>
    <s v="CCS"/>
    <n v="0"/>
    <s v="228"/>
    <n v="5"/>
    <s v="FWD"/>
    <s v="C - Medium"/>
    <n v="4235"/>
    <n v="1825"/>
    <n v="1603"/>
    <x v="0"/>
    <s v="https://ev-database.org/car/2091/GWM-ORA-03-48-kWh"/>
  </r>
  <r>
    <x v="16"/>
    <x v="134"/>
    <n v="160"/>
    <x v="0"/>
    <n v="59.3"/>
    <s v="31–60 kWh"/>
    <s v="Lithium-ion"/>
    <m/>
    <n v="250"/>
    <n v="141"/>
    <x v="0"/>
    <n v="340"/>
    <x v="0"/>
    <n v="8.1999999999999993"/>
    <s v="8.0+ s"/>
    <n v="56"/>
    <x v="0"/>
    <s v="CCS"/>
    <n v="0"/>
    <s v="228"/>
    <n v="5"/>
    <s v="FWD"/>
    <s v="C - Medium"/>
    <n v="4235"/>
    <n v="1825"/>
    <n v="1603"/>
    <x v="0"/>
    <s v="https://ev-database.org/car/2092/GWM-ORA-03-63-kWh"/>
  </r>
  <r>
    <x v="16"/>
    <x v="135"/>
    <n v="160"/>
    <x v="0"/>
    <n v="59.3"/>
    <s v="31–60 kWh"/>
    <s v="Lithium-ion"/>
    <m/>
    <n v="250"/>
    <n v="148"/>
    <x v="0"/>
    <n v="325"/>
    <x v="0"/>
    <n v="8.1999999999999993"/>
    <s v="8.0+ s"/>
    <n v="56"/>
    <x v="0"/>
    <s v="CCS"/>
    <n v="0"/>
    <s v="228"/>
    <n v="5"/>
    <s v="FWD"/>
    <s v="C - Medium"/>
    <n v="4254"/>
    <n v="1848"/>
    <n v="1603"/>
    <x v="0"/>
    <s v="https://ev-database.org/car/2093/GWM-ORA-03-GT"/>
  </r>
  <r>
    <x v="16"/>
    <x v="136"/>
    <n v="180"/>
    <x v="2"/>
    <n v="83.5"/>
    <s v="61+ kWh"/>
    <s v="Lithium-ion"/>
    <m/>
    <n v="680"/>
    <n v="161"/>
    <x v="2"/>
    <n v="430"/>
    <x v="1"/>
    <n v="4.5"/>
    <s v="4.0–5.9 s"/>
    <n v="80"/>
    <x v="0"/>
    <s v="CCS"/>
    <n v="0"/>
    <s v="333"/>
    <n v="5"/>
    <s v="AWD"/>
    <s v="D - Large"/>
    <n v="4871"/>
    <n v="1862"/>
    <n v="1500"/>
    <x v="4"/>
    <s v="https://ev-database.org/car/2247/GWM-ORA-07-GT"/>
  </r>
  <r>
    <x v="16"/>
    <x v="137"/>
    <n v="170"/>
    <x v="0"/>
    <n v="64.3"/>
    <s v="61+ kWh"/>
    <s v="Lithium-ion"/>
    <m/>
    <n v="340"/>
    <n v="146"/>
    <x v="0"/>
    <n v="350"/>
    <x v="0"/>
    <n v="8.1999999999999993"/>
    <s v="8.0+ s"/>
    <n v="75"/>
    <x v="0"/>
    <s v="CCS"/>
    <n v="0"/>
    <s v="333"/>
    <n v="5"/>
    <s v="FWD"/>
    <s v="D - Large"/>
    <n v="4871"/>
    <n v="1862"/>
    <n v="1500"/>
    <x v="4"/>
    <s v="https://ev-database.org/car/2246/GWM-ORA-07-Pro"/>
  </r>
  <r>
    <x v="16"/>
    <x v="138"/>
    <n v="170"/>
    <x v="0"/>
    <n v="64.3"/>
    <s v="61+ kWh"/>
    <s v="Lithium-ion"/>
    <m/>
    <n v="340"/>
    <n v="146"/>
    <x v="0"/>
    <n v="350"/>
    <x v="0"/>
    <n v="8.1999999999999993"/>
    <s v="8.0+ s"/>
    <n v="75"/>
    <x v="0"/>
    <s v="CCS"/>
    <n v="0"/>
    <s v="333"/>
    <n v="5"/>
    <s v="FWD"/>
    <s v="D - Large"/>
    <n v="4871"/>
    <n v="1862"/>
    <n v="1500"/>
    <x v="4"/>
    <s v="https://ev-database.org/car/2245/GWM-ORA-07-Pure"/>
  </r>
  <r>
    <x v="17"/>
    <x v="139"/>
    <n v="225"/>
    <x v="3"/>
    <n v="82.5"/>
    <s v="61+ kWh"/>
    <s v="Lithium-ion"/>
    <m/>
    <n v="700"/>
    <n v="159"/>
    <x v="0"/>
    <n v="440"/>
    <x v="1"/>
    <n v="4.9000000000000004"/>
    <s v="4.0–5.9 s"/>
    <n v="160"/>
    <x v="1"/>
    <s v="CCS"/>
    <m/>
    <s v="354"/>
    <n v="5"/>
    <s v="AWD"/>
    <s v="F - Luxury"/>
    <n v="5005"/>
    <n v="1925"/>
    <n v="1470"/>
    <x v="4"/>
    <s v="https://ev-database.org/car/1703/Genesis-G80-Electrified-Luxury"/>
  </r>
  <r>
    <x v="17"/>
    <x v="140"/>
    <n v="185"/>
    <x v="2"/>
    <n v="74"/>
    <s v="61+ kWh"/>
    <s v="Lithium-ion"/>
    <n v="384"/>
    <n v="350"/>
    <n v="143"/>
    <x v="0"/>
    <n v="390"/>
    <x v="0"/>
    <n v="7.8"/>
    <s v="6.0–7.9 s"/>
    <n v="200"/>
    <x v="1"/>
    <s v="CCS"/>
    <n v="1600"/>
    <s v="432"/>
    <n v="5"/>
    <s v="RWD"/>
    <s v="JC - Medium"/>
    <n v="4515"/>
    <n v="1890"/>
    <n v="1580"/>
    <x v="1"/>
    <s v="https://ev-database.org/car/1647/Genesis-GV60-Premium"/>
  </r>
  <r>
    <x v="17"/>
    <x v="141"/>
    <n v="200"/>
    <x v="1"/>
    <n v="74"/>
    <s v="61+ kWh"/>
    <s v="Lithium-ion"/>
    <n v="384"/>
    <n v="605"/>
    <n v="157"/>
    <x v="0"/>
    <n v="375"/>
    <x v="0"/>
    <n v="5.5"/>
    <s v="4.0–5.9 s"/>
    <n v="200"/>
    <x v="1"/>
    <s v="CCS"/>
    <n v="1600"/>
    <s v="432"/>
    <n v="5"/>
    <s v="AWD"/>
    <s v="JC - Medium"/>
    <n v="4515"/>
    <n v="1890"/>
    <n v="1580"/>
    <x v="1"/>
    <s v="https://ev-database.org/car/1648/Genesis-GV60-Sport"/>
  </r>
  <r>
    <x v="17"/>
    <x v="142"/>
    <n v="235"/>
    <x v="3"/>
    <n v="74"/>
    <s v="61+ kWh"/>
    <s v="Lithium-ion"/>
    <n v="384"/>
    <n v="700"/>
    <n v="159"/>
    <x v="0"/>
    <n v="360"/>
    <x v="0"/>
    <n v="4"/>
    <s v="4.0–5.9 s"/>
    <n v="200"/>
    <x v="1"/>
    <s v="CCS"/>
    <n v="1600"/>
    <s v="432"/>
    <n v="5"/>
    <s v="AWD"/>
    <s v="JC - Medium"/>
    <n v="4515"/>
    <n v="1890"/>
    <n v="1580"/>
    <x v="1"/>
    <s v="https://ev-database.org/car/1649/Genesis-GV60-Sport-Plus"/>
  </r>
  <r>
    <x v="17"/>
    <x v="143"/>
    <n v="235"/>
    <x v="3"/>
    <n v="74"/>
    <s v="61+ kWh"/>
    <s v="Lithium-ion"/>
    <n v="384"/>
    <n v="700"/>
    <n v="163"/>
    <x v="2"/>
    <n v="350"/>
    <x v="0"/>
    <n v="4.2"/>
    <s v="4.0–5.9 s"/>
    <n v="190"/>
    <x v="1"/>
    <s v="CCS"/>
    <n v="1800"/>
    <s v="503"/>
    <n v="5"/>
    <s v="AWD"/>
    <s v="JD - Large"/>
    <n v="4715"/>
    <n v="1910"/>
    <n v="1630"/>
    <x v="1"/>
    <s v="https://ev-database.org/car/1725/Genesis-GV70-Electrified-Sport"/>
  </r>
  <r>
    <x v="18"/>
    <x v="144"/>
    <n v="160"/>
    <x v="0"/>
    <n v="61.9"/>
    <s v="61+ kWh"/>
    <s v="Lithium-ion"/>
    <m/>
    <n v="310"/>
    <n v="150"/>
    <x v="0"/>
    <n v="335"/>
    <x v="0"/>
    <n v="7.6"/>
    <s v="6.0–7.9 s"/>
    <n v="60"/>
    <x v="0"/>
    <s v="CCS"/>
    <n v="0"/>
    <s v="361"/>
    <n v="5"/>
    <s v="FWD"/>
    <s v="JB - Compact"/>
    <n v="4387"/>
    <n v="1790"/>
    <n v="1584"/>
    <x v="1"/>
    <s v="https://ev-database.org/car/1940/Honda-eNy1"/>
  </r>
  <r>
    <x v="19"/>
    <x v="145"/>
    <n v="200"/>
    <x v="1"/>
    <n v="112"/>
    <s v="61+ kWh"/>
    <s v="Lithium-ion"/>
    <m/>
    <n v="750"/>
    <n v="217"/>
    <x v="2"/>
    <n v="455"/>
    <x v="1"/>
    <n v="4.9000000000000004"/>
    <s v="4.0–5.9 s"/>
    <n v="110"/>
    <x v="2"/>
    <s v="CCS"/>
    <n v="1500"/>
    <s v="438"/>
    <n v="5"/>
    <s v="AWD"/>
    <s v="JF - Luxury"/>
    <n v="5209"/>
    <n v="2010"/>
    <n v="1731"/>
    <x v="1"/>
    <s v="https://ev-database.org/car/2050/Hongqi-E-HS9-120-kWh"/>
  </r>
  <r>
    <x v="19"/>
    <x v="146"/>
    <n v="200"/>
    <x v="1"/>
    <n v="76.5"/>
    <s v="61+ kWh"/>
    <s v="Lithium-ion"/>
    <m/>
    <n v="600"/>
    <n v="193"/>
    <x v="2"/>
    <n v="320"/>
    <x v="0"/>
    <n v="6.5"/>
    <s v="6.0–7.9 s"/>
    <n v="112"/>
    <x v="2"/>
    <s v="CCS"/>
    <n v="1500"/>
    <s v="438"/>
    <n v="5"/>
    <s v="AWD"/>
    <s v="JF - Luxury"/>
    <n v="5209"/>
    <n v="2010"/>
    <n v="1731"/>
    <x v="1"/>
    <s v="https://ev-database.org/car/1746/Hongqi-E-HS9-84-kWh"/>
  </r>
  <r>
    <x v="19"/>
    <x v="147"/>
    <n v="200"/>
    <x v="1"/>
    <n v="90"/>
    <s v="61+ kWh"/>
    <s v="Lithium-ion"/>
    <m/>
    <n v="750"/>
    <n v="194"/>
    <x v="2"/>
    <n v="370"/>
    <x v="0"/>
    <n v="4.9000000000000004"/>
    <s v="4.0–5.9 s"/>
    <n v="112"/>
    <x v="2"/>
    <s v="CCS"/>
    <n v="1500"/>
    <s v="438"/>
    <n v="5"/>
    <s v="AWD"/>
    <s v="JF - Luxury"/>
    <n v="5209"/>
    <n v="2010"/>
    <n v="1731"/>
    <x v="1"/>
    <s v="https://ev-database.org/car/1747/Hongqi-E-HS9-99-kWh"/>
  </r>
  <r>
    <x v="20"/>
    <x v="148"/>
    <n v="150"/>
    <x v="0"/>
    <n v="46"/>
    <s v="31–60 kWh"/>
    <s v="Lithium-ion"/>
    <m/>
    <n v="147"/>
    <n v="124"/>
    <x v="1"/>
    <n v="300"/>
    <x v="0"/>
    <n v="10.6"/>
    <s v="8.0+ s"/>
    <n v="70"/>
    <x v="0"/>
    <s v="CCS"/>
    <m/>
    <s v="280"/>
    <n v="4"/>
    <s v="FWD"/>
    <s v="JA - Mini"/>
    <n v="3825"/>
    <n v="1610"/>
    <n v="1575"/>
    <x v="1"/>
    <s v="https://ev-database.org/car/2231/Hyundai-INSTER-Long-Range"/>
  </r>
  <r>
    <x v="20"/>
    <x v="149"/>
    <n v="140"/>
    <x v="5"/>
    <n v="39"/>
    <s v="31–60 kWh"/>
    <s v="Lithium-ion"/>
    <m/>
    <n v="147"/>
    <n v="119"/>
    <x v="1"/>
    <n v="255"/>
    <x v="0"/>
    <n v="11.7"/>
    <s v="8.0+ s"/>
    <n v="60"/>
    <x v="0"/>
    <s v="CCS"/>
    <m/>
    <s v="280"/>
    <n v="4"/>
    <s v="FWD"/>
    <s v="JA - Mini"/>
    <n v="3825"/>
    <n v="1610"/>
    <n v="1575"/>
    <x v="1"/>
    <s v="https://ev-database.org/car/2230/Hyundai-INSTER-Standard-Range"/>
  </r>
  <r>
    <x v="20"/>
    <x v="150"/>
    <n v="185"/>
    <x v="2"/>
    <n v="60"/>
    <s v="31–60 kWh"/>
    <s v="Lithium-ion"/>
    <n v="288"/>
    <n v="350"/>
    <n v="136"/>
    <x v="0"/>
    <n v="345"/>
    <x v="0"/>
    <n v="8.5"/>
    <s v="8.0+ s"/>
    <n v="150"/>
    <x v="1"/>
    <s v="CCS"/>
    <n v="750"/>
    <s v="520"/>
    <n v="5"/>
    <s v="RWD"/>
    <s v="JC - Medium"/>
    <n v="4655"/>
    <n v="1890"/>
    <n v="1605"/>
    <x v="1"/>
    <s v="https://ev-database.org/car/2235/Hyundai-IONIQ-5-63-kWh-RWD"/>
  </r>
  <r>
    <x v="20"/>
    <x v="151"/>
    <n v="185"/>
    <x v="2"/>
    <n v="80"/>
    <s v="61+ kWh"/>
    <s v="Lithium-ion"/>
    <n v="384"/>
    <n v="605"/>
    <n v="162"/>
    <x v="2"/>
    <n v="445"/>
    <x v="1"/>
    <n v="5.3"/>
    <s v="4.0–5.9 s"/>
    <n v="205"/>
    <x v="1"/>
    <s v="CCS"/>
    <n v="1600"/>
    <s v="520"/>
    <n v="5"/>
    <s v="AWD"/>
    <s v="JC - Medium"/>
    <n v="4655"/>
    <n v="1890"/>
    <n v="1605"/>
    <x v="1"/>
    <s v="https://ev-database.org/car/2237/Hyundai-IONIQ-5-84-kWh-AWD"/>
  </r>
  <r>
    <x v="20"/>
    <x v="152"/>
    <n v="185"/>
    <x v="2"/>
    <n v="80"/>
    <s v="61+ kWh"/>
    <s v="Lithium-ion"/>
    <n v="384"/>
    <n v="350"/>
    <n v="155"/>
    <x v="0"/>
    <n v="450"/>
    <x v="1"/>
    <n v="7.5"/>
    <s v="6.0–7.9 s"/>
    <n v="205"/>
    <x v="1"/>
    <s v="CCS"/>
    <n v="1600"/>
    <s v="520"/>
    <n v="5"/>
    <s v="RWD"/>
    <s v="JC - Medium"/>
    <n v="4655"/>
    <n v="1890"/>
    <n v="1605"/>
    <x v="1"/>
    <s v="https://ev-database.org/car/2236/Hyundai-IONIQ-5-84-kWh-RWD"/>
  </r>
  <r>
    <x v="20"/>
    <x v="153"/>
    <n v="260"/>
    <x v="4"/>
    <n v="80"/>
    <s v="61+ kWh"/>
    <s v="Lithium-ion"/>
    <n v="384"/>
    <n v="740"/>
    <n v="179"/>
    <x v="2"/>
    <n v="390"/>
    <x v="0"/>
    <n v="3.4"/>
    <s v="0–3.9 s"/>
    <n v="205"/>
    <x v="1"/>
    <s v="CCS"/>
    <n v="0"/>
    <s v="480"/>
    <n v="5"/>
    <s v="AWD"/>
    <s v="JC - Medium"/>
    <n v="4715"/>
    <n v="1940"/>
    <n v="1585"/>
    <x v="1"/>
    <s v="https://ev-database.org/car/2044/Hyundai-IONIQ-5-N"/>
  </r>
  <r>
    <x v="20"/>
    <x v="154"/>
    <n v="185"/>
    <x v="2"/>
    <n v="74"/>
    <s v="61+ kWh"/>
    <s v="Lithium-ion"/>
    <n v="384"/>
    <n v="350"/>
    <n v="136"/>
    <x v="0"/>
    <n v="495"/>
    <x v="1"/>
    <n v="7.4"/>
    <s v="6.0–7.9 s"/>
    <n v="200"/>
    <x v="1"/>
    <s v="CCS"/>
    <n v="1500"/>
    <s v="401"/>
    <n v="5"/>
    <s v="RWD"/>
    <s v="D - Large"/>
    <n v="4855"/>
    <n v="1880"/>
    <n v="1495"/>
    <x v="4"/>
    <s v="https://ev-database.org/car/1718/Hyundai-IONIQ-6-Long-Range-2WD"/>
  </r>
  <r>
    <x v="20"/>
    <x v="155"/>
    <n v="185"/>
    <x v="2"/>
    <n v="74"/>
    <s v="61+ kWh"/>
    <s v="Lithium-ion"/>
    <n v="384"/>
    <n v="605"/>
    <n v="143"/>
    <x v="0"/>
    <n v="440"/>
    <x v="1"/>
    <n v="5.0999999999999996"/>
    <s v="4.0–5.9 s"/>
    <n v="200"/>
    <x v="1"/>
    <s v="CCS"/>
    <n v="1500"/>
    <s v="401"/>
    <n v="5"/>
    <s v="AWD"/>
    <s v="D - Large"/>
    <n v="4855"/>
    <n v="1880"/>
    <n v="1495"/>
    <x v="4"/>
    <s v="https://ev-database.org/car/1719/Hyundai-IONIQ-6-Long-Range-AWD"/>
  </r>
  <r>
    <x v="20"/>
    <x v="156"/>
    <n v="185"/>
    <x v="2"/>
    <n v="50"/>
    <s v="31–60 kWh"/>
    <s v="Lithium-ion"/>
    <n v="264"/>
    <n v="350"/>
    <n v="117"/>
    <x v="1"/>
    <n v="335"/>
    <x v="0"/>
    <n v="8.8000000000000007"/>
    <s v="8.0+ s"/>
    <n v="120"/>
    <x v="2"/>
    <s v="CCS"/>
    <n v="750"/>
    <s v="401"/>
    <n v="5"/>
    <s v="RWD"/>
    <s v="D - Large"/>
    <n v="4855"/>
    <n v="1880"/>
    <n v="1495"/>
    <x v="4"/>
    <s v="https://ev-database.org/car/1717/Hyundai-IONIQ-6-Standard-Range-2WD"/>
  </r>
  <r>
    <x v="20"/>
    <x v="157"/>
    <n v="200"/>
    <x v="1"/>
    <n v="106"/>
    <s v="61+ kWh"/>
    <s v="Lithium-ion"/>
    <m/>
    <n v="605"/>
    <n v="177"/>
    <x v="2"/>
    <n v="490"/>
    <x v="1"/>
    <n v="6.7"/>
    <s v="6.0–7.9 s"/>
    <n v="195"/>
    <x v="1"/>
    <s v="CCS"/>
    <n v="2500"/>
    <s v="338"/>
    <n v="7"/>
    <s v="AWD"/>
    <s v="JF - Luxury"/>
    <n v="5060"/>
    <n v="1980"/>
    <n v="1790"/>
    <x v="1"/>
    <s v="https://ev-database.org/car/3068/Hyundai-IONIQ-9-Long-Range-AWD"/>
  </r>
  <r>
    <x v="20"/>
    <x v="158"/>
    <n v="185"/>
    <x v="2"/>
    <n v="106"/>
    <s v="61+ kWh"/>
    <s v="Lithium-ion"/>
    <m/>
    <n v="350"/>
    <n v="171"/>
    <x v="2"/>
    <n v="500"/>
    <x v="1"/>
    <n v="9.4"/>
    <s v="8.0+ s"/>
    <n v="195"/>
    <x v="1"/>
    <s v="CCS"/>
    <n v="1600"/>
    <s v="338"/>
    <n v="7"/>
    <s v="RWD"/>
    <s v="JF - Luxury"/>
    <n v="5060"/>
    <n v="1980"/>
    <n v="1790"/>
    <x v="1"/>
    <s v="https://ev-database.org/car/3067/Hyundai-IONIQ-9-Long-Range-RWD"/>
  </r>
  <r>
    <x v="20"/>
    <x v="159"/>
    <n v="200"/>
    <x v="1"/>
    <n v="106"/>
    <s v="61+ kWh"/>
    <s v="Lithium-ion"/>
    <m/>
    <n v="700"/>
    <n v="177"/>
    <x v="2"/>
    <n v="480"/>
    <x v="1"/>
    <n v="5.2"/>
    <s v="4.0–5.9 s"/>
    <n v="195"/>
    <x v="1"/>
    <s v="CCS"/>
    <n v="2500"/>
    <s v="338"/>
    <n v="7"/>
    <s v="AWD"/>
    <s v="JF - Luxury"/>
    <n v="5060"/>
    <n v="1980"/>
    <n v="1790"/>
    <x v="1"/>
    <s v="https://ev-database.org/car/3069/Hyundai-IONIQ-9-Performance-AWD"/>
  </r>
  <r>
    <x v="20"/>
    <x v="160"/>
    <n v="160"/>
    <x v="0"/>
    <n v="48.4"/>
    <s v="31–60 kWh"/>
    <s v="Lithium-ion"/>
    <m/>
    <n v="255"/>
    <n v="128"/>
    <x v="1"/>
    <n v="295"/>
    <x v="0"/>
    <n v="8.8000000000000007"/>
    <s v="8.0+ s"/>
    <n v="50"/>
    <x v="0"/>
    <s v="CCS"/>
    <n v="300"/>
    <s v="466"/>
    <n v="5"/>
    <s v="FWD"/>
    <s v="JB - Compact"/>
    <n v="4355"/>
    <n v="1825"/>
    <n v="1575"/>
    <x v="1"/>
    <s v="https://ev-database.org/car/1829/Hyundai-Kona-Electric-48-kWh"/>
  </r>
  <r>
    <x v="20"/>
    <x v="161"/>
    <n v="170"/>
    <x v="0"/>
    <n v="65.400000000000006"/>
    <s v="61+ kWh"/>
    <s v="Lithium-ion"/>
    <m/>
    <n v="255"/>
    <n v="144"/>
    <x v="0"/>
    <n v="390"/>
    <x v="0"/>
    <n v="7.8"/>
    <s v="6.0–7.9 s"/>
    <n v="86"/>
    <x v="0"/>
    <s v="CCS"/>
    <n v="750"/>
    <s v="466"/>
    <n v="5"/>
    <s v="FWD"/>
    <s v="JB - Compact"/>
    <n v="4355"/>
    <n v="1825"/>
    <n v="1575"/>
    <x v="1"/>
    <s v="https://ev-database.org/car/1830/Hyundai-Kona-Electric-65-kWh"/>
  </r>
  <r>
    <x v="21"/>
    <x v="162"/>
    <n v="200"/>
    <x v="1"/>
    <n v="84.7"/>
    <s v="61+ kWh"/>
    <s v="Lithium-ion"/>
    <n v="432"/>
    <n v="696"/>
    <n v="208"/>
    <x v="2"/>
    <n v="380"/>
    <x v="0"/>
    <n v="4.8"/>
    <s v="4.0–5.9 s"/>
    <n v="85"/>
    <x v="0"/>
    <s v="CCS"/>
    <n v="750"/>
    <s v="505"/>
    <n v="5"/>
    <s v="AWD"/>
    <s v="JD - Large"/>
    <n v="4682"/>
    <n v="2011"/>
    <n v="1566"/>
    <x v="1"/>
    <s v="https://ev-database.org/car/1812/Jaguar-I-Pace-EV400"/>
  </r>
  <r>
    <x v="22"/>
    <x v="163"/>
    <n v="150"/>
    <x v="0"/>
    <n v="50.8"/>
    <s v="31–60 kWh"/>
    <s v="Lithium-ion"/>
    <n v="102"/>
    <n v="260"/>
    <n v="132"/>
    <x v="0"/>
    <n v="310"/>
    <x v="0"/>
    <n v="9"/>
    <s v="8.0+ s"/>
    <n v="85"/>
    <x v="0"/>
    <s v="CCS"/>
    <n v="0"/>
    <s v="355"/>
    <n v="5"/>
    <s v="FWD"/>
    <s v="JB - Compact"/>
    <n v="4084"/>
    <n v="1776"/>
    <n v="1528"/>
    <x v="1"/>
    <s v="https://ev-database.org/car/1816/Jeep-Avenger-Electric"/>
  </r>
  <r>
    <x v="22"/>
    <x v="164"/>
    <n v="180"/>
    <x v="2"/>
    <n v="74"/>
    <s v="61+ kWh"/>
    <s v="Lithium-ion"/>
    <m/>
    <n v="345"/>
    <n v="148"/>
    <x v="0"/>
    <n v="370"/>
    <x v="0"/>
    <n v="8.5"/>
    <s v="8.0+ s"/>
    <n v="90"/>
    <x v="0"/>
    <s v="CCS"/>
    <n v="1000"/>
    <s v="550"/>
    <n v="5"/>
    <s v="FWD"/>
    <s v="JC - Medium"/>
    <n v="4552"/>
    <n v="1928"/>
    <n v="1675"/>
    <x v="1"/>
    <s v="https://ev-database.org/car/3181/Jeep-Compass-Electric-74-kWh"/>
  </r>
  <r>
    <x v="23"/>
    <x v="165"/>
    <n v="175"/>
    <x v="2"/>
    <n v="72"/>
    <s v="61+ kWh"/>
    <s v="Lithium-ion"/>
    <m/>
    <n v="339"/>
    <n v="156"/>
    <x v="0"/>
    <n v="370"/>
    <x v="0"/>
    <n v="8.1"/>
    <s v="8.0+ s"/>
    <n v="85"/>
    <x v="0"/>
    <s v="CCS"/>
    <n v="1500"/>
    <s v="839"/>
    <n v="5"/>
    <s v="FWD"/>
    <s v="JC - Medium"/>
    <n v="4715"/>
    <n v="1890"/>
    <n v="1725"/>
    <x v="1"/>
    <s v="https://ev-database.org/car/2189/KGM-Torres-EVX"/>
  </r>
  <r>
    <x v="24"/>
    <x v="166"/>
    <n v="170"/>
    <x v="0"/>
    <n v="78"/>
    <s v="61+ kWh"/>
    <s v="Lithium-ion"/>
    <m/>
    <n v="283"/>
    <n v="139"/>
    <x v="0"/>
    <n v="455"/>
    <x v="1"/>
    <n v="7.7"/>
    <s v="6.0–7.9 s"/>
    <n v="105"/>
    <x v="2"/>
    <s v="CCS"/>
    <n v="1000"/>
    <s v="460"/>
    <n v="5"/>
    <s v="FWD"/>
    <s v="JB - Compact"/>
    <n v="4300"/>
    <n v="1850"/>
    <n v="1560"/>
    <x v="1"/>
    <s v="https://ev-database.org/car/2212/Kia-EV3-Long-Range"/>
  </r>
  <r>
    <x v="24"/>
    <x v="167"/>
    <n v="170"/>
    <x v="0"/>
    <n v="55"/>
    <s v="31–60 kWh"/>
    <s v="Lithium-ion"/>
    <m/>
    <n v="283"/>
    <n v="133"/>
    <x v="0"/>
    <n v="325"/>
    <x v="0"/>
    <n v="7.5"/>
    <s v="6.0–7.9 s"/>
    <n v="80"/>
    <x v="0"/>
    <s v="CCS"/>
    <n v="300"/>
    <s v="460"/>
    <n v="5"/>
    <s v="FWD"/>
    <s v="JB - Compact"/>
    <n v="4300"/>
    <n v="1850"/>
    <n v="1560"/>
    <x v="1"/>
    <s v="https://ev-database.org/car/2211/Kia-EV3-Standard-Range"/>
  </r>
  <r>
    <x v="24"/>
    <x v="168"/>
    <n v="170"/>
    <x v="0"/>
    <n v="78"/>
    <s v="61+ kWh"/>
    <s v="Lithium-ion"/>
    <m/>
    <n v="283"/>
    <n v="132"/>
    <x v="0"/>
    <n v="475"/>
    <x v="1"/>
    <n v="7.7"/>
    <s v="6.0–7.9 s"/>
    <n v="105"/>
    <x v="2"/>
    <s v="CCS"/>
    <m/>
    <s v="435"/>
    <n v="5"/>
    <s v="FWD"/>
    <s v="C - Medium"/>
    <n v="4430"/>
    <n v="1860"/>
    <n v="1485"/>
    <x v="0"/>
    <s v="https://ev-database.org/car/3124/Kia-EV4-Hatchback-Long-Range"/>
  </r>
  <r>
    <x v="24"/>
    <x v="169"/>
    <n v="170"/>
    <x v="0"/>
    <n v="55"/>
    <s v="31–60 kWh"/>
    <s v="Lithium-ion"/>
    <m/>
    <n v="283"/>
    <n v="134"/>
    <x v="0"/>
    <n v="340"/>
    <x v="0"/>
    <n v="7.4"/>
    <s v="6.0–7.9 s"/>
    <n v="80"/>
    <x v="0"/>
    <s v="CCS"/>
    <m/>
    <s v="435"/>
    <n v="5"/>
    <s v="FWD"/>
    <s v="C - Medium"/>
    <n v="4430"/>
    <n v="1860"/>
    <n v="1485"/>
    <x v="0"/>
    <s v="https://ev-database.org/car/3123/Kia-EV4-Hatchback-Standard-Range"/>
  </r>
  <r>
    <x v="24"/>
    <x v="170"/>
    <n v="170"/>
    <x v="0"/>
    <n v="78"/>
    <s v="61+ kWh"/>
    <s v="Lithium-ion"/>
    <m/>
    <n v="283"/>
    <n v="124"/>
    <x v="1"/>
    <n v="495"/>
    <x v="1"/>
    <n v="7.7"/>
    <s v="6.0–7.9 s"/>
    <n v="105"/>
    <x v="2"/>
    <s v="CCS"/>
    <m/>
    <s v="490"/>
    <n v="5"/>
    <s v="FWD"/>
    <s v="C - Medium"/>
    <n v="4730"/>
    <n v="1860"/>
    <n v="1480"/>
    <x v="4"/>
    <s v="https://ev-database.org/car/3122/Kia-EV4-Sedan-Long-Range"/>
  </r>
  <r>
    <x v="24"/>
    <x v="171"/>
    <n v="170"/>
    <x v="0"/>
    <n v="55"/>
    <s v="31–60 kWh"/>
    <s v="Lithium-ion"/>
    <m/>
    <n v="283"/>
    <n v="128"/>
    <x v="1"/>
    <n v="355"/>
    <x v="0"/>
    <n v="7.4"/>
    <s v="6.0–7.9 s"/>
    <n v="80"/>
    <x v="0"/>
    <s v="CCS"/>
    <m/>
    <s v="490"/>
    <n v="5"/>
    <s v="FWD"/>
    <s v="C - Medium"/>
    <n v="4730"/>
    <n v="1860"/>
    <n v="1480"/>
    <x v="4"/>
    <s v="https://ev-database.org/car/3121/Kia-EV4-Sedan-Standard-Range"/>
  </r>
  <r>
    <x v="24"/>
    <x v="172"/>
    <n v="260"/>
    <x v="4"/>
    <n v="80"/>
    <s v="61+ kWh"/>
    <s v="Lithium-ion"/>
    <n v="384"/>
    <n v="770"/>
    <n v="178"/>
    <x v="2"/>
    <n v="385"/>
    <x v="0"/>
    <n v="3.5"/>
    <s v="0–3.9 s"/>
    <n v="205"/>
    <x v="1"/>
    <s v="CCS"/>
    <n v="1800"/>
    <s v="480"/>
    <n v="5"/>
    <s v="AWD"/>
    <s v="JC - Medium"/>
    <n v="4695"/>
    <n v="1890"/>
    <n v="1545"/>
    <x v="1"/>
    <s v="https://ev-database.org/car/3079/Kia-EV6-GT"/>
  </r>
  <r>
    <x v="24"/>
    <x v="173"/>
    <n v="185"/>
    <x v="2"/>
    <n v="80"/>
    <s v="61+ kWh"/>
    <s v="Lithium-ion"/>
    <n v="384"/>
    <n v="350"/>
    <n v="143"/>
    <x v="0"/>
    <n v="455"/>
    <x v="1"/>
    <n v="7.3"/>
    <s v="6.0–7.9 s"/>
    <n v="205"/>
    <x v="1"/>
    <s v="CCS"/>
    <n v="1800"/>
    <s v="490"/>
    <n v="5"/>
    <s v="RWD"/>
    <s v="JC - Medium"/>
    <n v="4695"/>
    <n v="1880"/>
    <n v="1575"/>
    <x v="1"/>
    <s v="https://ev-database.org/car/3028/Kia-EV6-Long-Range-2WD"/>
  </r>
  <r>
    <x v="24"/>
    <x v="174"/>
    <n v="185"/>
    <x v="2"/>
    <n v="80"/>
    <s v="61+ kWh"/>
    <s v="Lithium-ion"/>
    <n v="384"/>
    <n v="605"/>
    <n v="154"/>
    <x v="0"/>
    <n v="440"/>
    <x v="1"/>
    <n v="5.2"/>
    <s v="4.0–5.9 s"/>
    <n v="205"/>
    <x v="1"/>
    <s v="CCS"/>
    <n v="1800"/>
    <s v="490"/>
    <n v="5"/>
    <s v="AWD"/>
    <s v="JC - Medium"/>
    <n v="4695"/>
    <n v="1880"/>
    <n v="1575"/>
    <x v="1"/>
    <s v="https://ev-database.org/car/3029/Kia-EV6-Long-Range-AWD"/>
  </r>
  <r>
    <x v="24"/>
    <x v="175"/>
    <n v="185"/>
    <x v="2"/>
    <n v="60"/>
    <s v="31–60 kWh"/>
    <s v="Lithium-ion"/>
    <n v="288"/>
    <n v="350"/>
    <n v="140"/>
    <x v="0"/>
    <n v="345"/>
    <x v="0"/>
    <n v="8.6999999999999993"/>
    <s v="8.0+ s"/>
    <n v="150"/>
    <x v="1"/>
    <s v="CCS"/>
    <n v="750"/>
    <s v="490"/>
    <n v="5"/>
    <s v="RWD"/>
    <s v="JC - Medium"/>
    <n v="4695"/>
    <n v="1880"/>
    <n v="1575"/>
    <x v="1"/>
    <s v="https://ev-database.org/car/3030/Kia-EV6-Standard-Range-2WD"/>
  </r>
  <r>
    <x v="24"/>
    <x v="176"/>
    <n v="190"/>
    <x v="2"/>
    <n v="73"/>
    <s v="61+ kWh"/>
    <s v="Lithium-ion"/>
    <n v="348"/>
    <n v="350"/>
    <n v="165"/>
    <x v="2"/>
    <n v="355"/>
    <x v="0"/>
    <n v="8.5"/>
    <s v="8.0+ s"/>
    <n v="160"/>
    <x v="1"/>
    <s v="CCS"/>
    <n v="900"/>
    <s v="333"/>
    <n v="7"/>
    <s v="RWD"/>
    <s v="JF - Luxury"/>
    <n v="5010"/>
    <n v="1980"/>
    <n v="1755"/>
    <x v="1"/>
    <s v="https://ev-database.org/car/1833/Kia-EV9-761-kWh-RWD"/>
  </r>
  <r>
    <x v="24"/>
    <x v="177"/>
    <n v="200"/>
    <x v="1"/>
    <n v="96"/>
    <s v="61+ kWh"/>
    <s v="Lithium-ion"/>
    <n v="456"/>
    <n v="600"/>
    <n v="188"/>
    <x v="2"/>
    <n v="435"/>
    <x v="1"/>
    <n v="6"/>
    <s v="6.0–7.9 s"/>
    <n v="194"/>
    <x v="1"/>
    <s v="CCS"/>
    <n v="2500"/>
    <s v="333"/>
    <n v="7"/>
    <s v="AWD"/>
    <s v="JF - Luxury"/>
    <n v="5010"/>
    <n v="1980"/>
    <n v="1755"/>
    <x v="1"/>
    <s v="https://ev-database.org/car/1835/Kia-EV9-998-kWh-AWD"/>
  </r>
  <r>
    <x v="24"/>
    <x v="178"/>
    <n v="220"/>
    <x v="1"/>
    <n v="96"/>
    <s v="61+ kWh"/>
    <s v="Lithium-ion"/>
    <n v="456"/>
    <n v="740"/>
    <n v="190"/>
    <x v="2"/>
    <n v="420"/>
    <x v="1"/>
    <n v="4.5999999999999996"/>
    <s v="4.0–5.9 s"/>
    <n v="194"/>
    <x v="1"/>
    <s v="CCS"/>
    <n v="2500"/>
    <s v="333"/>
    <n v="7"/>
    <s v="AWD"/>
    <s v="JF - Luxury"/>
    <n v="5015"/>
    <n v="1980"/>
    <n v="1755"/>
    <x v="1"/>
    <s v="https://ev-database.org/car/3196/Kia-EV9-998-kWh-AWD-GT"/>
  </r>
  <r>
    <x v="24"/>
    <x v="179"/>
    <n v="200"/>
    <x v="1"/>
    <n v="96"/>
    <s v="61+ kWh"/>
    <s v="Lithium-ion"/>
    <n v="456"/>
    <n v="700"/>
    <n v="190"/>
    <x v="2"/>
    <n v="425"/>
    <x v="1"/>
    <n v="5.3"/>
    <s v="4.0–5.9 s"/>
    <n v="194"/>
    <x v="1"/>
    <s v="CCS"/>
    <n v="2500"/>
    <s v="333"/>
    <n v="7"/>
    <s v="AWD"/>
    <s v="JF - Luxury"/>
    <n v="5015"/>
    <n v="1980"/>
    <n v="1780"/>
    <x v="1"/>
    <s v="https://ev-database.org/car/1993/Kia-EV9-998-kWh-AWD-GT-Line"/>
  </r>
  <r>
    <x v="24"/>
    <x v="180"/>
    <n v="185"/>
    <x v="2"/>
    <n v="96"/>
    <s v="61+ kWh"/>
    <s v="Lithium-ion"/>
    <n v="456"/>
    <n v="350"/>
    <n v="171"/>
    <x v="2"/>
    <n v="450"/>
    <x v="1"/>
    <n v="9.4"/>
    <s v="8.0+ s"/>
    <n v="194"/>
    <x v="1"/>
    <s v="CCS"/>
    <n v="900"/>
    <s v="333"/>
    <n v="7"/>
    <s v="RWD"/>
    <s v="JF - Luxury"/>
    <n v="5010"/>
    <n v="1980"/>
    <n v="1755"/>
    <x v="1"/>
    <s v="https://ev-database.org/car/1834/Kia-EV9-998-kWh-RWD"/>
  </r>
  <r>
    <x v="24"/>
    <x v="181"/>
    <n v="167"/>
    <x v="0"/>
    <n v="64.8"/>
    <s v="61+ kWh"/>
    <s v="Lithium-ion"/>
    <n v="96"/>
    <n v="255"/>
    <n v="140"/>
    <x v="0"/>
    <n v="385"/>
    <x v="0"/>
    <n v="7.8"/>
    <s v="6.0–7.9 s"/>
    <n v="70"/>
    <x v="0"/>
    <s v="CCS"/>
    <n v="750"/>
    <s v="475"/>
    <n v="5"/>
    <s v="FWD"/>
    <s v="JC - Medium"/>
    <n v="4420"/>
    <n v="1825"/>
    <n v="1570"/>
    <x v="1"/>
    <s v="https://ev-database.org/car/1666/Kia-Niro-EV"/>
  </r>
  <r>
    <x v="25"/>
    <x v="182"/>
    <n v="150"/>
    <x v="0"/>
    <n v="48.1"/>
    <s v="31–60 kWh"/>
    <s v="Lithium-ion"/>
    <n v="96"/>
    <n v="260"/>
    <n v="122"/>
    <x v="1"/>
    <n v="310"/>
    <x v="0"/>
    <n v="8.1999999999999993"/>
    <s v="8.0+ s"/>
    <n v="80"/>
    <x v="0"/>
    <s v="CCS"/>
    <n v="0"/>
    <s v="309"/>
    <n v="5"/>
    <s v="FWD"/>
    <s v="B - Compact"/>
    <n v="4080"/>
    <n v="1760"/>
    <n v="1440"/>
    <x v="0"/>
    <s v="https://ev-database.org/car/2117/Lancia-Ypsilon"/>
  </r>
  <r>
    <x v="26"/>
    <x v="183"/>
    <n v="170"/>
    <x v="0"/>
    <n v="69.900000000000006"/>
    <s v="61+ kWh"/>
    <s v="Lithium-ion"/>
    <m/>
    <n v="320"/>
    <n v="166"/>
    <x v="2"/>
    <n v="350"/>
    <x v="0"/>
    <n v="7.5"/>
    <s v="6.0–7.9 s"/>
    <n v="70"/>
    <x v="0"/>
    <s v="CCS"/>
    <n v="1500"/>
    <s v="435"/>
    <n v="5"/>
    <s v="RWD"/>
    <s v="JD - Large"/>
    <n v="4739"/>
    <n v="1900"/>
    <n v="1680"/>
    <x v="1"/>
    <s v="https://ev-database.org/car/3040/Leapmotor-C10"/>
  </r>
  <r>
    <x v="26"/>
    <x v="184"/>
    <n v="130"/>
    <x v="5"/>
    <n v="36"/>
    <s v="31–60 kWh"/>
    <s v="Lithium-ion"/>
    <m/>
    <n v="158"/>
    <n v="136"/>
    <x v="0"/>
    <n v="225"/>
    <x v="0"/>
    <n v="12.7"/>
    <s v="8.0+ s"/>
    <n v="30"/>
    <x v="3"/>
    <s v="CCS"/>
    <m/>
    <s v="210"/>
    <n v="4"/>
    <s v="FWD"/>
    <s v="A - Mini"/>
    <n v="3620"/>
    <n v="1652"/>
    <n v="1577"/>
    <x v="0"/>
    <s v="https://ev-database.org/car/3039/Leapmotor-T03"/>
  </r>
  <r>
    <x v="27"/>
    <x v="185"/>
    <n v="160"/>
    <x v="0"/>
    <n v="64"/>
    <s v="61+ kWh"/>
    <s v="Lithium-ion"/>
    <n v="96"/>
    <n v="266"/>
    <n v="149"/>
    <x v="0"/>
    <n v="365"/>
    <x v="0"/>
    <n v="8"/>
    <s v="8.0+ s"/>
    <n v="100"/>
    <x v="2"/>
    <s v="CCS"/>
    <n v="750"/>
    <s v="522"/>
    <n v="5"/>
    <s v="FWD"/>
    <s v="JC - Medium"/>
    <n v="4690"/>
    <n v="1860"/>
    <n v="1600"/>
    <x v="1"/>
    <s v="https://ev-database.org/car/3027/Lexus-RZ-300e"/>
  </r>
  <r>
    <x v="27"/>
    <x v="186"/>
    <n v="160"/>
    <x v="0"/>
    <n v="64"/>
    <s v="61+ kWh"/>
    <s v="Lithium-ion"/>
    <n v="96"/>
    <n v="435"/>
    <n v="158"/>
    <x v="0"/>
    <n v="350"/>
    <x v="0"/>
    <n v="5.6"/>
    <s v="4.0–5.9 s"/>
    <n v="100"/>
    <x v="2"/>
    <s v="CCS"/>
    <n v="750"/>
    <s v="522"/>
    <n v="5"/>
    <s v="AWD"/>
    <s v="JD - Large"/>
    <n v="4805"/>
    <n v="1895"/>
    <n v="1635"/>
    <x v="1"/>
    <s v="https://ev-database.org/car/1677/Lexus-RZ-450e"/>
  </r>
  <r>
    <x v="27"/>
    <x v="187"/>
    <n v="160"/>
    <x v="0"/>
    <n v="64"/>
    <s v="61+ kWh"/>
    <s v="Lithium-ion"/>
    <n v="96"/>
    <n v="300"/>
    <n v="145"/>
    <x v="0"/>
    <n v="340"/>
    <x v="0"/>
    <n v="7.5"/>
    <s v="6.0–7.9 s"/>
    <n v="35"/>
    <x v="3"/>
    <s v="CHAdeMO"/>
    <n v="0"/>
    <s v="316"/>
    <n v="5"/>
    <s v="FWD"/>
    <s v="JC - Medium"/>
    <n v="4495"/>
    <n v="1840"/>
    <n v="1545"/>
    <x v="1"/>
    <s v="https://ev-database.org/car/1943/Lexus-UX-300e"/>
  </r>
  <r>
    <x v="28"/>
    <x v="188"/>
    <n v="250"/>
    <x v="4"/>
    <n v="109"/>
    <s v="61+ kWh"/>
    <s v="Lithium-ion"/>
    <m/>
    <n v="710"/>
    <n v="204"/>
    <x v="2"/>
    <n v="495"/>
    <x v="1"/>
    <n v="4.5"/>
    <s v="4.0–5.9 s"/>
    <n v="259"/>
    <x v="1"/>
    <s v="CCS"/>
    <n v="2250"/>
    <s v="611"/>
    <n v="5"/>
    <s v="AWD"/>
    <s v="JF - Luxury"/>
    <n v="5103"/>
    <n v="2019"/>
    <n v="1630"/>
    <x v="1"/>
    <s v="https://ev-database.org/car/1767/Lotus-Eletre"/>
  </r>
  <r>
    <x v="28"/>
    <x v="189"/>
    <n v="260"/>
    <x v="4"/>
    <n v="109"/>
    <s v="61+ kWh"/>
    <s v="Lithium-ion"/>
    <m/>
    <n v="985"/>
    <n v="266"/>
    <x v="2"/>
    <n v="455"/>
    <x v="1"/>
    <n v="2.9"/>
    <s v="0–3.9 s"/>
    <n v="259"/>
    <x v="1"/>
    <s v="CCS"/>
    <n v="2250"/>
    <s v="611"/>
    <n v="5"/>
    <s v="AWD"/>
    <s v="JF - Luxury"/>
    <n v="5103"/>
    <n v="2019"/>
    <n v="1636"/>
    <x v="1"/>
    <s v="https://ev-database.org/car/1768/Lotus-Eletre-R"/>
  </r>
  <r>
    <x v="28"/>
    <x v="190"/>
    <n v="250"/>
    <x v="4"/>
    <n v="109"/>
    <s v="61+ kWh"/>
    <s v="Lithium-ion"/>
    <m/>
    <n v="710"/>
    <n v="222"/>
    <x v="2"/>
    <n v="480"/>
    <x v="1"/>
    <n v="4.5"/>
    <s v="4.0–5.9 s"/>
    <n v="259"/>
    <x v="1"/>
    <s v="CCS"/>
    <n v="2250"/>
    <s v="611"/>
    <n v="5"/>
    <s v="AWD"/>
    <s v="JF - Luxury"/>
    <n v="5103"/>
    <n v="2019"/>
    <n v="1630"/>
    <x v="1"/>
    <s v="https://ev-database.org/car/2066/Lotus-Eletre-S"/>
  </r>
  <r>
    <x v="28"/>
    <x v="191"/>
    <n v="250"/>
    <x v="4"/>
    <n v="98.9"/>
    <s v="61+ kWh"/>
    <s v="Lithium-ion"/>
    <m/>
    <n v="710"/>
    <n v="198"/>
    <x v="2"/>
    <n v="520"/>
    <x v="1"/>
    <n v="4.2"/>
    <s v="4.0–5.9 s"/>
    <n v="240"/>
    <x v="1"/>
    <s v="CCS"/>
    <n v="2250"/>
    <s v="509"/>
    <n v="5"/>
    <s v="AWD"/>
    <s v="F - Luxury"/>
    <n v="5139"/>
    <n v="2005"/>
    <n v="1464"/>
    <x v="3"/>
    <s v="https://ev-database.org/car/2141/Lotus-Emeya"/>
  </r>
  <r>
    <x v="28"/>
    <x v="192"/>
    <n v="256"/>
    <x v="4"/>
    <n v="98.9"/>
    <s v="61+ kWh"/>
    <s v="Lithium-ion"/>
    <m/>
    <n v="985"/>
    <n v="227"/>
    <x v="2"/>
    <n v="465"/>
    <x v="1"/>
    <n v="2.8"/>
    <s v="0–3.9 s"/>
    <n v="240"/>
    <x v="1"/>
    <s v="CCS"/>
    <n v="1225"/>
    <s v="509"/>
    <n v="5"/>
    <s v="AWD"/>
    <s v="F - Luxury"/>
    <n v="5139"/>
    <n v="2005"/>
    <n v="1464"/>
    <x v="3"/>
    <s v="https://ev-database.org/car/2143/Lotus-Emeya-R"/>
  </r>
  <r>
    <x v="28"/>
    <x v="193"/>
    <n v="250"/>
    <x v="4"/>
    <n v="98.9"/>
    <s v="61+ kWh"/>
    <s v="Lithium-ion"/>
    <m/>
    <n v="710"/>
    <n v="198"/>
    <x v="2"/>
    <n v="520"/>
    <x v="1"/>
    <n v="4.2"/>
    <s v="4.0–5.9 s"/>
    <n v="240"/>
    <x v="1"/>
    <s v="CCS"/>
    <n v="2250"/>
    <s v="509"/>
    <n v="5"/>
    <s v="AWD"/>
    <s v="F - Luxury"/>
    <n v="5139"/>
    <n v="2005"/>
    <n v="1464"/>
    <x v="3"/>
    <s v="https://ev-database.org/car/2142/Lotus-Emeya-S"/>
  </r>
  <r>
    <x v="29"/>
    <x v="194"/>
    <n v="270"/>
    <x v="4"/>
    <n v="112"/>
    <s v="61+ kWh"/>
    <s v="Lithium-ion"/>
    <n v="6600"/>
    <n v="1200"/>
    <n v="143"/>
    <x v="0"/>
    <n v="665"/>
    <x v="1"/>
    <n v="3"/>
    <s v="0–3.9 s"/>
    <n v="184"/>
    <x v="1"/>
    <s v="CCS"/>
    <n v="0"/>
    <s v="456"/>
    <n v="5"/>
    <s v="AWD"/>
    <s v="F - Luxury"/>
    <n v="4975"/>
    <n v="1939"/>
    <n v="1410"/>
    <x v="4"/>
    <s v="https://ev-database.org/car/1316/Lucid-Air-Grand-Touring"/>
  </r>
  <r>
    <x v="29"/>
    <x v="195"/>
    <n v="200"/>
    <x v="1"/>
    <n v="92"/>
    <s v="61+ kWh"/>
    <s v="Lithium-ion"/>
    <n v="5400"/>
    <m/>
    <n v="130"/>
    <x v="1"/>
    <n v="565"/>
    <x v="1"/>
    <n v="4.7"/>
    <s v="4.0–5.9 s"/>
    <n v="160"/>
    <x v="1"/>
    <s v="CCS"/>
    <n v="0"/>
    <s v="456"/>
    <n v="5"/>
    <s v="RWD"/>
    <s v="F - Luxury"/>
    <n v="4975"/>
    <n v="1939"/>
    <n v="1410"/>
    <x v="4"/>
    <s v="https://ev-database.org/car/2116/Lucid-Air-Pure-RWD"/>
  </r>
  <r>
    <x v="29"/>
    <x v="196"/>
    <n v="250"/>
    <x v="4"/>
    <n v="92"/>
    <s v="61+ kWh"/>
    <s v="Lithium-ion"/>
    <n v="5400"/>
    <m/>
    <n v="142"/>
    <x v="0"/>
    <n v="580"/>
    <x v="1"/>
    <n v="3.2"/>
    <s v="0–3.9 s"/>
    <n v="160"/>
    <x v="1"/>
    <s v="CCS"/>
    <n v="0"/>
    <s v="456"/>
    <n v="5"/>
    <s v="AWD"/>
    <s v="F - Luxury"/>
    <n v="4975"/>
    <n v="1939"/>
    <n v="1410"/>
    <x v="4"/>
    <s v="https://ev-database.org/car/1317/Lucid-Air-Touring"/>
  </r>
  <r>
    <x v="30"/>
    <x v="197"/>
    <n v="180"/>
    <x v="2"/>
    <n v="65"/>
    <s v="61+ kWh"/>
    <s v="Lithium-ion"/>
    <m/>
    <n v="343"/>
    <n v="149"/>
    <x v="0"/>
    <n v="370"/>
    <x v="0"/>
    <n v="5.5"/>
    <s v="4.0–5.9 s"/>
    <n v="90"/>
    <x v="0"/>
    <s v="CCS"/>
    <n v="1600"/>
    <s v="410"/>
    <n v="5"/>
    <s v="RWD"/>
    <s v="JC - Medium"/>
    <n v="4460"/>
    <n v="1845"/>
    <n v="1573"/>
    <x v="1"/>
    <s v="https://ev-database.org/car/3045/LynkCo-02"/>
  </r>
  <r>
    <x v="31"/>
    <x v="198"/>
    <n v="200"/>
    <x v="1"/>
    <n v="74.400000000000006"/>
    <s v="61+ kWh"/>
    <s v="Lithium-ion"/>
    <m/>
    <n v="725"/>
    <n v="168"/>
    <x v="2"/>
    <n v="395"/>
    <x v="0"/>
    <n v="3.2"/>
    <s v="0–3.9 s"/>
    <n v="85"/>
    <x v="0"/>
    <s v="CCS"/>
    <m/>
    <s v="249"/>
    <n v="2"/>
    <s v="AWD"/>
    <s v="G - Sports"/>
    <n v="4535"/>
    <n v="1913"/>
    <n v="1329"/>
    <x v="6"/>
    <s v="https://ev-database.org/car/2203/MG-Cyberster-GT"/>
  </r>
  <r>
    <x v="31"/>
    <x v="199"/>
    <n v="195"/>
    <x v="2"/>
    <n v="74.400000000000006"/>
    <s v="61+ kWh"/>
    <s v="Lithium-ion"/>
    <m/>
    <n v="475"/>
    <n v="146"/>
    <x v="0"/>
    <n v="425"/>
    <x v="1"/>
    <n v="5"/>
    <s v="4.0–5.9 s"/>
    <n v="85"/>
    <x v="0"/>
    <s v="CCS"/>
    <m/>
    <s v="249"/>
    <n v="2"/>
    <s v="RWD"/>
    <s v="G - Sports"/>
    <n v="4535"/>
    <n v="1913"/>
    <n v="1329"/>
    <x v="6"/>
    <s v="https://ev-database.org/car/2202/MG-Cyberster-Trophy"/>
  </r>
  <r>
    <x v="31"/>
    <x v="200"/>
    <n v="160"/>
    <x v="0"/>
    <n v="50.8"/>
    <s v="31–60 kWh"/>
    <s v="Lithium-ion"/>
    <n v="104"/>
    <n v="250"/>
    <n v="145"/>
    <x v="0"/>
    <n v="300"/>
    <x v="0"/>
    <n v="7.7"/>
    <s v="6.0–7.9 s"/>
    <n v="68"/>
    <x v="0"/>
    <s v="CCS"/>
    <n v="500"/>
    <s v="363"/>
    <n v="5"/>
    <s v="RWD"/>
    <s v="C - Medium"/>
    <n v="4287"/>
    <n v="1836"/>
    <n v="1504"/>
    <x v="0"/>
    <s v="https://ev-database.org/car/1707/MG-MG4-Electric-51-kWh"/>
  </r>
  <r>
    <x v="31"/>
    <x v="201"/>
    <n v="160"/>
    <x v="0"/>
    <n v="61.7"/>
    <s v="61+ kWh"/>
    <s v="Lithium-ion"/>
    <n v="104"/>
    <n v="250"/>
    <n v="142"/>
    <x v="0"/>
    <n v="360"/>
    <x v="0"/>
    <n v="7.9"/>
    <s v="6.0–7.9 s"/>
    <n v="116"/>
    <x v="2"/>
    <s v="CCS"/>
    <n v="500"/>
    <s v="363"/>
    <n v="5"/>
    <s v="RWD"/>
    <s v="C - Medium"/>
    <n v="4287"/>
    <n v="1836"/>
    <n v="1504"/>
    <x v="0"/>
    <s v="https://ev-database.org/car/1708/MG-MG4-Electric-64-kWh"/>
  </r>
  <r>
    <x v="31"/>
    <x v="202"/>
    <n v="180"/>
    <x v="2"/>
    <n v="74.400000000000006"/>
    <s v="61+ kWh"/>
    <s v="Lithium-ion"/>
    <m/>
    <n v="350"/>
    <n v="143"/>
    <x v="0"/>
    <n v="425"/>
    <x v="1"/>
    <n v="6.5"/>
    <s v="6.0–7.9 s"/>
    <n v="110"/>
    <x v="2"/>
    <s v="CCS"/>
    <n v="500"/>
    <s v="363"/>
    <n v="5"/>
    <s v="RWD"/>
    <s v="C - Medium"/>
    <n v="4287"/>
    <n v="1836"/>
    <n v="1516"/>
    <x v="0"/>
    <s v="https://ev-database.org/car/1973/MG-MG4-Electric-77-kWh"/>
  </r>
  <r>
    <x v="31"/>
    <x v="203"/>
    <n v="200"/>
    <x v="1"/>
    <n v="61.7"/>
    <s v="61+ kWh"/>
    <s v="Lithium-ion"/>
    <n v="104"/>
    <n v="600"/>
    <n v="160"/>
    <x v="0"/>
    <n v="320"/>
    <x v="0"/>
    <n v="3.8"/>
    <s v="0–3.9 s"/>
    <n v="116"/>
    <x v="2"/>
    <s v="CCS"/>
    <n v="500"/>
    <s v="363"/>
    <n v="5"/>
    <s v="AWD"/>
    <s v="C - Medium"/>
    <n v="4287"/>
    <n v="1836"/>
    <n v="1516"/>
    <x v="0"/>
    <s v="https://ev-database.org/car/1944/MG-MG4-Electric-XPOWER"/>
  </r>
  <r>
    <x v="31"/>
    <x v="204"/>
    <n v="185"/>
    <x v="2"/>
    <n v="57.4"/>
    <s v="31–60 kWh"/>
    <s v="Lithium-ion"/>
    <m/>
    <n v="280"/>
    <n v="151"/>
    <x v="0"/>
    <n v="335"/>
    <x v="0"/>
    <n v="7.7"/>
    <s v="6.0–7.9 s"/>
    <n v="60"/>
    <x v="0"/>
    <s v="CCS"/>
    <n v="500"/>
    <s v="479"/>
    <n v="5"/>
    <s v="FWD"/>
    <s v="C - Medium"/>
    <n v="4600"/>
    <n v="1818"/>
    <n v="1543"/>
    <x v="2"/>
    <s v="https://ev-database.org/car/1474/MG-MG5-Electric-Long-Range"/>
  </r>
  <r>
    <x v="31"/>
    <x v="205"/>
    <n v="185"/>
    <x v="2"/>
    <n v="46"/>
    <s v="31–60 kWh"/>
    <s v="Lithium-ion"/>
    <m/>
    <n v="280"/>
    <n v="148"/>
    <x v="0"/>
    <n v="265"/>
    <x v="0"/>
    <n v="7.7"/>
    <s v="6.0–7.9 s"/>
    <n v="53"/>
    <x v="0"/>
    <s v="CCS"/>
    <n v="500"/>
    <s v="479"/>
    <n v="5"/>
    <s v="FWD"/>
    <s v="C - Medium"/>
    <n v="4600"/>
    <n v="1818"/>
    <n v="1543"/>
    <x v="2"/>
    <s v="https://ev-database.org/car/1646/MG-MG5-Electric-Standard-Range"/>
  </r>
  <r>
    <x v="31"/>
    <x v="206"/>
    <n v="170"/>
    <x v="0"/>
    <n v="47.1"/>
    <s v="31–60 kWh"/>
    <s v="Lithium-ion"/>
    <m/>
    <n v="250"/>
    <n v="139"/>
    <x v="0"/>
    <n v="275"/>
    <x v="0"/>
    <n v="8"/>
    <s v="8.0+ s"/>
    <n v="80"/>
    <x v="0"/>
    <s v="CCS"/>
    <n v="750"/>
    <s v="453"/>
    <n v="5"/>
    <s v="RWD"/>
    <s v="JC - Medium"/>
    <n v="4476"/>
    <n v="1849"/>
    <n v="1621"/>
    <x v="1"/>
    <s v="https://ev-database.org/car/3146/MG-MGS5--EV-49-kWh"/>
  </r>
  <r>
    <x v="31"/>
    <x v="207"/>
    <n v="190"/>
    <x v="2"/>
    <n v="62.1"/>
    <s v="61+ kWh"/>
    <s v="Lithium-ion"/>
    <m/>
    <n v="350"/>
    <n v="134"/>
    <x v="0"/>
    <n v="365"/>
    <x v="0"/>
    <n v="6.3"/>
    <s v="6.0–7.9 s"/>
    <n v="90"/>
    <x v="0"/>
    <s v="CCS"/>
    <n v="750"/>
    <s v="453"/>
    <n v="5"/>
    <s v="RWD"/>
    <s v="JC - Medium"/>
    <n v="4476"/>
    <n v="1849"/>
    <n v="1621"/>
    <x v="1"/>
    <s v="https://ev-database.org/car/3147/MG-MGS5--EV-64-kWh"/>
  </r>
  <r>
    <x v="31"/>
    <x v="208"/>
    <n v="175"/>
    <x v="2"/>
    <n v="68.3"/>
    <s v="61+ kWh"/>
    <s v="Lithium-ion"/>
    <m/>
    <n v="280"/>
    <n v="155"/>
    <x v="0"/>
    <n v="370"/>
    <x v="0"/>
    <n v="8.4"/>
    <s v="8.0+ s"/>
    <n v="82"/>
    <x v="0"/>
    <s v="CCS"/>
    <n v="500"/>
    <s v="448"/>
    <n v="5"/>
    <s v="FWD"/>
    <s v="JB - Compact"/>
    <n v="4323"/>
    <n v="1809"/>
    <n v="1649"/>
    <x v="1"/>
    <s v="https://ev-database.org/car/1541/MG-ZS-EV-Long-Range"/>
  </r>
  <r>
    <x v="31"/>
    <x v="209"/>
    <n v="175"/>
    <x v="2"/>
    <n v="49"/>
    <s v="31–60 kWh"/>
    <s v="Lithium-ion"/>
    <m/>
    <n v="280"/>
    <n v="153"/>
    <x v="0"/>
    <n v="265"/>
    <x v="0"/>
    <n v="8.6"/>
    <s v="8.0+ s"/>
    <n v="50"/>
    <x v="0"/>
    <s v="CCS"/>
    <n v="500"/>
    <s v="448"/>
    <n v="5"/>
    <s v="FWD"/>
    <s v="JB - Compact"/>
    <n v="4323"/>
    <n v="1809"/>
    <n v="1649"/>
    <x v="1"/>
    <s v="https://ev-database.org/car/1540/MG-ZS-EV-Standard-Range"/>
  </r>
  <r>
    <x v="32"/>
    <x v="210"/>
    <n v="290"/>
    <x v="6"/>
    <n v="83"/>
    <s v="61+ kWh"/>
    <s v="Lithium-ion"/>
    <m/>
    <n v="1350"/>
    <n v="198"/>
    <x v="2"/>
    <n v="395"/>
    <x v="0"/>
    <n v="2.8"/>
    <s v="0–3.9 s"/>
    <n v="190"/>
    <x v="1"/>
    <s v="CCS"/>
    <m/>
    <s v="151"/>
    <n v="4"/>
    <s v="AWD"/>
    <s v="F - Luxury"/>
    <n v="4966"/>
    <n v="1957"/>
    <n v="1365"/>
    <x v="6"/>
    <s v="https://ev-database.org/car/2187/Maserati-GranCabrio-Folgore"/>
  </r>
  <r>
    <x v="32"/>
    <x v="211"/>
    <n v="325"/>
    <x v="7"/>
    <n v="83"/>
    <s v="61+ kWh"/>
    <s v="Lithium-ion"/>
    <m/>
    <n v="1350"/>
    <n v="182"/>
    <x v="2"/>
    <n v="420"/>
    <x v="1"/>
    <n v="2.7"/>
    <s v="0–3.9 s"/>
    <n v="217"/>
    <x v="1"/>
    <s v="CCS"/>
    <m/>
    <s v="270"/>
    <n v="4"/>
    <s v="AWD"/>
    <s v="F - Luxury"/>
    <n v="4959"/>
    <n v="1957"/>
    <n v="1353"/>
    <x v="7"/>
    <s v="https://ev-database.org/car/1803/Maserati-GranTurismo-Folgore"/>
  </r>
  <r>
    <x v="32"/>
    <x v="212"/>
    <n v="220"/>
    <x v="1"/>
    <n v="95"/>
    <s v="61+ kWh"/>
    <s v="Lithium-ion"/>
    <m/>
    <n v="820"/>
    <n v="220"/>
    <x v="2"/>
    <n v="400"/>
    <x v="0"/>
    <n v="4.0999999999999996"/>
    <s v="4.0–5.9 s"/>
    <n v="110"/>
    <x v="2"/>
    <s v="CCS"/>
    <n v="1800"/>
    <s v="535"/>
    <n v="5"/>
    <s v="AWD"/>
    <s v="JE - Executive"/>
    <n v="4865"/>
    <n v="1948"/>
    <n v="1651"/>
    <x v="1"/>
    <s v="https://ev-database.org/car/1843/Maserati-Grecale-Folgore"/>
  </r>
  <r>
    <x v="33"/>
    <x v="213"/>
    <n v="180"/>
    <x v="2"/>
    <n v="84"/>
    <s v="61+ kWh"/>
    <s v="Lithium-ion"/>
    <m/>
    <n v="350"/>
    <n v="195"/>
    <x v="2"/>
    <n v="365"/>
    <x v="0"/>
    <n v="9.1999999999999993"/>
    <s v="8.0+ s"/>
    <n v="103"/>
    <x v="2"/>
    <s v="CCS"/>
    <n v="1000"/>
    <s v="31 Banana Boxes"/>
    <n v="7"/>
    <s v="FWD"/>
    <s v="N - Passenger Van"/>
    <n v="5270"/>
    <n v="2000"/>
    <n v="1840"/>
    <x v="5"/>
    <s v="https://ev-database.org/car/1837/Maxus-MIFA-9"/>
  </r>
  <r>
    <x v="34"/>
    <x v="214"/>
    <n v="175"/>
    <x v="2"/>
    <n v="66"/>
    <s v="61+ kWh"/>
    <s v="Lithium-ion"/>
    <m/>
    <n v="320"/>
    <n v="138"/>
    <x v="0"/>
    <n v="390"/>
    <x v="0"/>
    <n v="7.6"/>
    <s v="6.0–7.9 s"/>
    <n v="120"/>
    <x v="2"/>
    <s v="CCS"/>
    <n v="1500"/>
    <s v="456"/>
    <n v="5"/>
    <s v="RWD"/>
    <s v="D - Large"/>
    <n v="4921"/>
    <n v="1890"/>
    <n v="1491"/>
    <x v="3"/>
    <s v="https://ev-database.org/car/3107/Mazda-6e-688-kWh"/>
  </r>
  <r>
    <x v="34"/>
    <x v="215"/>
    <n v="175"/>
    <x v="2"/>
    <n v="75"/>
    <s v="61+ kWh"/>
    <s v="Lithium-ion"/>
    <m/>
    <n v="320"/>
    <n v="136"/>
    <x v="0"/>
    <n v="440"/>
    <x v="1"/>
    <n v="7.8"/>
    <s v="6.0–7.9 s"/>
    <n v="70"/>
    <x v="0"/>
    <s v="CCS"/>
    <n v="1500"/>
    <s v="456"/>
    <n v="5"/>
    <s v="RWD"/>
    <s v="D - Large"/>
    <n v="4921"/>
    <n v="1890"/>
    <n v="1491"/>
    <x v="3"/>
    <s v="https://ev-database.org/car/3108/Mazda-6e-Long-Range-80-kWh"/>
  </r>
  <r>
    <x v="35"/>
    <x v="216"/>
    <n v="210"/>
    <x v="1"/>
    <n v="85"/>
    <s v="61+ kWh"/>
    <s v="Lithium-ion"/>
    <m/>
    <n v="335"/>
    <n v="122"/>
    <x v="1"/>
    <n v="565"/>
    <x v="1"/>
    <n v="6.7"/>
    <s v="6.0–7.9 s"/>
    <n v="235"/>
    <x v="1"/>
    <s v="CCS"/>
    <n v="1500"/>
    <s v="405"/>
    <n v="5"/>
    <s v="RWD"/>
    <s v="D - Large"/>
    <n v="4723"/>
    <n v="1855"/>
    <n v="1468"/>
    <x v="4"/>
    <s v="https://ev-database.org/car/3139/Mercedes-Benz-CLA-250plus"/>
  </r>
  <r>
    <x v="35"/>
    <x v="217"/>
    <n v="210"/>
    <x v="1"/>
    <n v="85"/>
    <s v="61+ kWh"/>
    <s v="Lithium-ion"/>
    <m/>
    <n v="515"/>
    <n v="126"/>
    <x v="1"/>
    <n v="550"/>
    <x v="1"/>
    <n v="4.9000000000000004"/>
    <s v="4.0–5.9 s"/>
    <n v="235"/>
    <x v="1"/>
    <s v="CCS"/>
    <n v="1800"/>
    <s v="405"/>
    <n v="5"/>
    <s v="AWD"/>
    <s v="D - Large"/>
    <n v="4723"/>
    <n v="1855"/>
    <n v="1468"/>
    <x v="4"/>
    <s v="https://ev-database.org/car/3140/Mercedes-Benz-CLA-350-4MATIC"/>
  </r>
  <r>
    <x v="35"/>
    <x v="218"/>
    <n v="160"/>
    <x v="0"/>
    <n v="66.5"/>
    <s v="61+ kWh"/>
    <s v="Lithium-ion"/>
    <n v="300"/>
    <n v="385"/>
    <n v="146"/>
    <x v="0"/>
    <n v="395"/>
    <x v="0"/>
    <n v="8.6"/>
    <s v="8.0+ s"/>
    <n v="100"/>
    <x v="2"/>
    <s v="CCS"/>
    <n v="1500"/>
    <s v="340"/>
    <n v="5"/>
    <s v="FWD"/>
    <s v="JC - Medium"/>
    <n v="4463"/>
    <n v="1834"/>
    <n v="1620"/>
    <x v="1"/>
    <s v="https://ev-database.org/car/1984/Mercedes-Benz-EQA-250"/>
  </r>
  <r>
    <x v="35"/>
    <x v="219"/>
    <n v="160"/>
    <x v="0"/>
    <n v="70.5"/>
    <s v="61+ kWh"/>
    <s v="Lithium-ion"/>
    <m/>
    <n v="385"/>
    <n v="142"/>
    <x v="0"/>
    <n v="420"/>
    <x v="1"/>
    <n v="8.6"/>
    <s v="8.0+ s"/>
    <n v="90"/>
    <x v="0"/>
    <s v="CCS"/>
    <n v="1500"/>
    <s v="340"/>
    <n v="5"/>
    <s v="FWD"/>
    <s v="JC - Medium"/>
    <n v="4463"/>
    <n v="1834"/>
    <n v="1620"/>
    <x v="1"/>
    <s v="https://ev-database.org/car/1985/Mercedes-Benz-EQA-250plus"/>
  </r>
  <r>
    <x v="35"/>
    <x v="220"/>
    <n v="160"/>
    <x v="0"/>
    <n v="66.5"/>
    <s v="61+ kWh"/>
    <s v="Lithium-ion"/>
    <n v="300"/>
    <n v="390"/>
    <n v="162"/>
    <x v="2"/>
    <n v="350"/>
    <x v="0"/>
    <n v="7.7"/>
    <s v="6.0–7.9 s"/>
    <n v="100"/>
    <x v="2"/>
    <s v="CCS"/>
    <n v="1800"/>
    <s v="340"/>
    <n v="5"/>
    <s v="AWD"/>
    <s v="JC - Medium"/>
    <n v="4463"/>
    <n v="1834"/>
    <n v="1620"/>
    <x v="1"/>
    <s v="https://ev-database.org/car/1986/Mercedes-Benz-EQA-300-4MATIC"/>
  </r>
  <r>
    <x v="35"/>
    <x v="221"/>
    <n v="160"/>
    <x v="0"/>
    <n v="66.5"/>
    <s v="61+ kWh"/>
    <s v="Lithium-ion"/>
    <n v="300"/>
    <n v="520"/>
    <n v="162"/>
    <x v="2"/>
    <n v="350"/>
    <x v="0"/>
    <n v="6"/>
    <s v="6.0–7.9 s"/>
    <n v="100"/>
    <x v="2"/>
    <s v="CCS"/>
    <n v="1800"/>
    <s v="340"/>
    <n v="5"/>
    <s v="AWD"/>
    <s v="JC - Medium"/>
    <n v="4463"/>
    <n v="1834"/>
    <n v="1620"/>
    <x v="1"/>
    <s v="https://ev-database.org/car/1987/Mercedes-Benz-EQA-350-4MATIC"/>
  </r>
  <r>
    <x v="35"/>
    <x v="222"/>
    <n v="160"/>
    <x v="0"/>
    <n v="70.5"/>
    <s v="61+ kWh"/>
    <s v="Lithium-ion"/>
    <m/>
    <n v="385"/>
    <n v="152"/>
    <x v="0"/>
    <n v="415"/>
    <x v="1"/>
    <n v="8.9"/>
    <s v="8.0+ s"/>
    <n v="90"/>
    <x v="0"/>
    <s v="CCS"/>
    <n v="1400"/>
    <s v="495"/>
    <n v="7"/>
    <s v="FWD"/>
    <s v="JC - Medium"/>
    <n v="4684"/>
    <n v="1834"/>
    <n v="1667"/>
    <x v="1"/>
    <s v="https://ev-database.org/car/1988/Mercedes-Benz-EQB-250plus"/>
  </r>
  <r>
    <x v="35"/>
    <x v="223"/>
    <n v="160"/>
    <x v="0"/>
    <n v="66.5"/>
    <s v="61+ kWh"/>
    <s v="Lithium-ion"/>
    <n v="300"/>
    <n v="390"/>
    <n v="168"/>
    <x v="2"/>
    <n v="345"/>
    <x v="0"/>
    <n v="8"/>
    <s v="8.0+ s"/>
    <n v="100"/>
    <x v="2"/>
    <s v="CCS"/>
    <n v="1700"/>
    <s v="495"/>
    <n v="7"/>
    <s v="AWD"/>
    <s v="JC - Medium"/>
    <n v="4684"/>
    <n v="1834"/>
    <n v="1667"/>
    <x v="1"/>
    <s v="https://ev-database.org/car/1989/Mercedes-Benz-EQB-300-4MATIC"/>
  </r>
  <r>
    <x v="35"/>
    <x v="224"/>
    <n v="160"/>
    <x v="0"/>
    <n v="66.5"/>
    <s v="61+ kWh"/>
    <s v="Lithium-ion"/>
    <n v="300"/>
    <n v="520"/>
    <n v="168"/>
    <x v="2"/>
    <n v="345"/>
    <x v="0"/>
    <n v="6.2"/>
    <s v="6.0–7.9 s"/>
    <n v="100"/>
    <x v="2"/>
    <s v="CCS"/>
    <n v="1700"/>
    <s v="495"/>
    <n v="7"/>
    <s v="AWD"/>
    <s v="JC - Medium"/>
    <n v="4684"/>
    <n v="1834"/>
    <n v="1667"/>
    <x v="1"/>
    <s v="https://ev-database.org/car/1990/Mercedes-Benz-EQB-350-4MATIC"/>
  </r>
  <r>
    <x v="35"/>
    <x v="225"/>
    <n v="210"/>
    <x v="1"/>
    <n v="89"/>
    <s v="61+ kWh"/>
    <s v="Lithium-ion"/>
    <m/>
    <n v="550"/>
    <n v="163"/>
    <x v="2"/>
    <n v="525"/>
    <x v="1"/>
    <n v="7.3"/>
    <s v="6.0–7.9 s"/>
    <n v="120"/>
    <x v="2"/>
    <s v="CCS"/>
    <n v="750"/>
    <s v="430"/>
    <n v="5"/>
    <s v="RWD"/>
    <s v="E - Executive"/>
    <n v="4946"/>
    <n v="1906"/>
    <n v="1503"/>
    <x v="4"/>
    <s v="https://ev-database.org/car/2204/Mercedes-Benz-EQE-300"/>
  </r>
  <r>
    <x v="35"/>
    <x v="226"/>
    <n v="210"/>
    <x v="1"/>
    <n v="90.6"/>
    <s v="61+ kWh"/>
    <s v="Lithium-ion"/>
    <n v="360"/>
    <n v="765"/>
    <n v="173"/>
    <x v="2"/>
    <n v="515"/>
    <x v="1"/>
    <n v="6.3"/>
    <s v="6.0–7.9 s"/>
    <n v="141"/>
    <x v="2"/>
    <s v="CCS"/>
    <n v="1700"/>
    <s v="430"/>
    <n v="5"/>
    <s v="AWD"/>
    <s v="E - Executive"/>
    <n v="4946"/>
    <n v="1906"/>
    <n v="1503"/>
    <x v="4"/>
    <s v="https://ev-database.org/car/2206/Mercedes-Benz-EQE-350-4MATIC"/>
  </r>
  <r>
    <x v="35"/>
    <x v="227"/>
    <n v="210"/>
    <x v="1"/>
    <n v="96"/>
    <s v="61+ kWh"/>
    <s v="Lithium-ion"/>
    <m/>
    <n v="565"/>
    <n v="164"/>
    <x v="2"/>
    <n v="555"/>
    <x v="1"/>
    <n v="6.5"/>
    <s v="6.0–7.9 s"/>
    <n v="141"/>
    <x v="2"/>
    <s v="CCS"/>
    <n v="750"/>
    <s v="430"/>
    <n v="5"/>
    <s v="RWD"/>
    <s v="E - Executive"/>
    <n v="4946"/>
    <n v="1906"/>
    <n v="1510"/>
    <x v="4"/>
    <s v="https://ev-database.org/car/2205/Mercedes-Benz-EQE-350plus"/>
  </r>
  <r>
    <x v="35"/>
    <x v="228"/>
    <n v="210"/>
    <x v="1"/>
    <n v="90.6"/>
    <s v="61+ kWh"/>
    <s v="Lithium-ion"/>
    <n v="360"/>
    <n v="858"/>
    <n v="173"/>
    <x v="2"/>
    <n v="505"/>
    <x v="1"/>
    <n v="4.7"/>
    <s v="4.0–5.9 s"/>
    <n v="141"/>
    <x v="2"/>
    <s v="CCS"/>
    <n v="1700"/>
    <s v="430"/>
    <n v="5"/>
    <s v="AWD"/>
    <s v="E - Executive"/>
    <n v="4946"/>
    <n v="1906"/>
    <n v="1503"/>
    <x v="4"/>
    <s v="https://ev-database.org/car/2207/Mercedes-Benz-EQE-500-4MATIC"/>
  </r>
  <r>
    <x v="35"/>
    <x v="229"/>
    <n v="210"/>
    <x v="1"/>
    <n v="90.6"/>
    <s v="61+ kWh"/>
    <s v="Lithium-ion"/>
    <n v="360"/>
    <n v="858"/>
    <n v="207"/>
    <x v="2"/>
    <n v="450"/>
    <x v="1"/>
    <n v="4.2"/>
    <s v="4.0–5.9 s"/>
    <n v="141"/>
    <x v="2"/>
    <s v="CCS"/>
    <n v="1700"/>
    <s v="430"/>
    <n v="5"/>
    <s v="AWD"/>
    <s v="E - Executive"/>
    <n v="4964"/>
    <n v="1906"/>
    <n v="1495"/>
    <x v="4"/>
    <s v="https://ev-database.org/car/2208/Mercedes-Benz-EQE-AMG-43-4MATIC"/>
  </r>
  <r>
    <x v="35"/>
    <x v="230"/>
    <n v="220"/>
    <x v="1"/>
    <n v="90.6"/>
    <s v="61+ kWh"/>
    <s v="Lithium-ion"/>
    <n v="360"/>
    <n v="950"/>
    <n v="208"/>
    <x v="2"/>
    <n v="450"/>
    <x v="1"/>
    <n v="3.5"/>
    <s v="0–3.9 s"/>
    <n v="141"/>
    <x v="2"/>
    <s v="CCS"/>
    <n v="1700"/>
    <s v="430"/>
    <n v="5"/>
    <s v="AWD"/>
    <s v="E - Executive"/>
    <n v="4964"/>
    <n v="1906"/>
    <n v="1495"/>
    <x v="4"/>
    <s v="https://ev-database.org/car/2209/Mercedes-Benz-EQE-AMG-53-4MATICplus"/>
  </r>
  <r>
    <x v="35"/>
    <x v="231"/>
    <n v="210"/>
    <x v="1"/>
    <n v="90.6"/>
    <s v="61+ kWh"/>
    <s v="Lithium-ion"/>
    <m/>
    <n v="550"/>
    <n v="182"/>
    <x v="2"/>
    <n v="450"/>
    <x v="1"/>
    <n v="7.6"/>
    <s v="6.0–7.9 s"/>
    <n v="141"/>
    <x v="2"/>
    <s v="CCS"/>
    <n v="750"/>
    <s v="520"/>
    <n v="5"/>
    <s v="RWD"/>
    <s v="JE - Executive"/>
    <n v="4863"/>
    <n v="1940"/>
    <n v="1685"/>
    <x v="1"/>
    <s v="https://ev-database.org/car/2045/Mercedes-Benz-EQE-SUV-300"/>
  </r>
  <r>
    <x v="35"/>
    <x v="232"/>
    <n v="210"/>
    <x v="1"/>
    <n v="90.6"/>
    <s v="61+ kWh"/>
    <s v="Lithium-ion"/>
    <m/>
    <n v="765"/>
    <n v="189"/>
    <x v="2"/>
    <n v="435"/>
    <x v="1"/>
    <n v="6.6"/>
    <s v="6.0–7.9 s"/>
    <n v="141"/>
    <x v="2"/>
    <s v="CCS"/>
    <n v="1800"/>
    <s v="520"/>
    <n v="5"/>
    <s v="AWD"/>
    <s v="JE - Executive"/>
    <n v="4863"/>
    <n v="1940"/>
    <n v="1685"/>
    <x v="1"/>
    <s v="https://ev-database.org/car/2047/Mercedes-Benz-EQE-SUV-350-4MATIC"/>
  </r>
  <r>
    <x v="35"/>
    <x v="233"/>
    <n v="210"/>
    <x v="1"/>
    <n v="96"/>
    <s v="61+ kWh"/>
    <s v="Lithium-ion"/>
    <m/>
    <n v="565"/>
    <n v="164"/>
    <x v="2"/>
    <n v="475"/>
    <x v="1"/>
    <n v="6.9"/>
    <s v="6.0–7.9 s"/>
    <n v="141"/>
    <x v="2"/>
    <s v="CCS"/>
    <n v="750"/>
    <s v="520"/>
    <n v="5"/>
    <s v="RWD"/>
    <s v="JE - Executive"/>
    <n v="4863"/>
    <n v="1940"/>
    <n v="1685"/>
    <x v="1"/>
    <s v="https://ev-database.org/car/2046/Mercedes-Benz-EQE-SUV-350plus"/>
  </r>
  <r>
    <x v="35"/>
    <x v="234"/>
    <n v="210"/>
    <x v="1"/>
    <n v="96"/>
    <s v="61+ kWh"/>
    <s v="Lithium-ion"/>
    <m/>
    <n v="858"/>
    <n v="187"/>
    <x v="2"/>
    <n v="455"/>
    <x v="1"/>
    <n v="4.9000000000000004"/>
    <s v="4.0–5.9 s"/>
    <n v="141"/>
    <x v="2"/>
    <s v="CCS"/>
    <n v="1800"/>
    <s v="520"/>
    <n v="5"/>
    <s v="AWD"/>
    <s v="JE - Executive"/>
    <n v="4863"/>
    <n v="1940"/>
    <n v="1685"/>
    <x v="1"/>
    <s v="https://ev-database.org/car/2048/Mercedes-Benz-EQE-SUV-500-4MATIC"/>
  </r>
  <r>
    <x v="35"/>
    <x v="235"/>
    <n v="210"/>
    <x v="1"/>
    <n v="90.6"/>
    <s v="61+ kWh"/>
    <s v="Lithium-ion"/>
    <n v="360"/>
    <n v="858"/>
    <n v="214"/>
    <x v="2"/>
    <n v="425"/>
    <x v="1"/>
    <n v="4.3"/>
    <s v="4.0–5.9 s"/>
    <n v="141"/>
    <x v="2"/>
    <s v="CCS"/>
    <n v="1800"/>
    <s v="520"/>
    <n v="5"/>
    <s v="AWD"/>
    <s v="JE - Executive"/>
    <n v="4879"/>
    <n v="1940"/>
    <n v="1672"/>
    <x v="1"/>
    <s v="https://ev-database.org/car/1763/Mercedes-Benz-EQE-SUV-AMG-43-4MATIC"/>
  </r>
  <r>
    <x v="35"/>
    <x v="236"/>
    <n v="240"/>
    <x v="3"/>
    <n v="90.6"/>
    <s v="61+ kWh"/>
    <s v="Lithium-ion"/>
    <n v="360"/>
    <n v="1000"/>
    <n v="242"/>
    <x v="2"/>
    <n v="420"/>
    <x v="1"/>
    <n v="3.5"/>
    <s v="0–3.9 s"/>
    <n v="141"/>
    <x v="2"/>
    <s v="CCS"/>
    <n v="1800"/>
    <s v="520"/>
    <n v="5"/>
    <s v="AWD"/>
    <s v="JE - Executive"/>
    <n v="4879"/>
    <n v="1940"/>
    <n v="1672"/>
    <x v="1"/>
    <s v="https://ev-database.org/car/1764/Mercedes-Benz-EQE-SUV-AMG-53-4MATICplus"/>
  </r>
  <r>
    <x v="35"/>
    <x v="237"/>
    <n v="210"/>
    <x v="1"/>
    <n v="96"/>
    <s v="61+ kWh"/>
    <s v="Lithium-ion"/>
    <n v="360"/>
    <n v="565"/>
    <n v="165"/>
    <x v="2"/>
    <n v="570"/>
    <x v="1"/>
    <n v="6.7"/>
    <s v="6.0–7.9 s"/>
    <n v="130"/>
    <x v="2"/>
    <s v="CCS"/>
    <n v="750"/>
    <s v="620"/>
    <n v="5"/>
    <s v="RWD"/>
    <s v="F - Luxury"/>
    <n v="5223"/>
    <n v="1926"/>
    <n v="1512"/>
    <x v="4"/>
    <s v="https://ev-database.org/car/2155/Mercedes-Benz-EQS-350"/>
  </r>
  <r>
    <x v="35"/>
    <x v="238"/>
    <n v="210"/>
    <x v="1"/>
    <n v="118"/>
    <s v="61+ kWh"/>
    <s v="Lithium-ion"/>
    <m/>
    <n v="800"/>
    <n v="180"/>
    <x v="2"/>
    <n v="655"/>
    <x v="1"/>
    <n v="5.7"/>
    <s v="4.0–5.9 s"/>
    <n v="160"/>
    <x v="1"/>
    <s v="CCS"/>
    <n v="1700"/>
    <s v="620"/>
    <n v="5"/>
    <s v="AWD"/>
    <s v="F - Luxury"/>
    <n v="5223"/>
    <n v="1926"/>
    <n v="1518"/>
    <x v="4"/>
    <s v="https://ev-database.org/car/2194/Mercedes-Benz-EQS-450-4MATIC"/>
  </r>
  <r>
    <x v="35"/>
    <x v="239"/>
    <n v="210"/>
    <x v="1"/>
    <n v="118"/>
    <s v="61+ kWh"/>
    <s v="Lithium-ion"/>
    <m/>
    <n v="568"/>
    <n v="173"/>
    <x v="2"/>
    <n v="685"/>
    <x v="1"/>
    <n v="6.2"/>
    <s v="6.0–7.9 s"/>
    <n v="160"/>
    <x v="1"/>
    <s v="CCS"/>
    <n v="750"/>
    <s v="620"/>
    <n v="5"/>
    <s v="RWD"/>
    <s v="F - Luxury"/>
    <n v="5223"/>
    <n v="1926"/>
    <n v="1518"/>
    <x v="4"/>
    <s v="https://ev-database.org/car/2193/Mercedes-Benz-EQS-450plus"/>
  </r>
  <r>
    <x v="35"/>
    <x v="240"/>
    <n v="210"/>
    <x v="1"/>
    <n v="118"/>
    <s v="61+ kWh"/>
    <s v="Lithium-ion"/>
    <m/>
    <n v="828"/>
    <n v="180"/>
    <x v="2"/>
    <n v="640"/>
    <x v="1"/>
    <n v="4.9000000000000004"/>
    <s v="4.0–5.9 s"/>
    <n v="160"/>
    <x v="1"/>
    <s v="CCS"/>
    <n v="1700"/>
    <s v="620"/>
    <n v="5"/>
    <s v="AWD"/>
    <s v="F - Luxury"/>
    <n v="5223"/>
    <n v="1926"/>
    <n v="1518"/>
    <x v="4"/>
    <s v="https://ev-database.org/car/2195/Mercedes-Benz-EQS-500-4MATIC"/>
  </r>
  <r>
    <x v="35"/>
    <x v="241"/>
    <n v="210"/>
    <x v="1"/>
    <n v="118"/>
    <s v="61+ kWh"/>
    <s v="Lithium-ion"/>
    <m/>
    <n v="858"/>
    <n v="180"/>
    <x v="2"/>
    <n v="640"/>
    <x v="1"/>
    <n v="4.4000000000000004"/>
    <s v="4.0–5.9 s"/>
    <n v="160"/>
    <x v="1"/>
    <s v="CCS"/>
    <n v="1700"/>
    <s v="620"/>
    <n v="5"/>
    <s v="AWD"/>
    <s v="F - Luxury"/>
    <n v="5223"/>
    <n v="1926"/>
    <n v="1518"/>
    <x v="4"/>
    <s v="https://ev-database.org/car/2196/Mercedes-Benz-EQS-580-4MATIC"/>
  </r>
  <r>
    <x v="35"/>
    <x v="242"/>
    <n v="250"/>
    <x v="4"/>
    <n v="118"/>
    <s v="61+ kWh"/>
    <s v="Lithium-ion"/>
    <m/>
    <n v="1020"/>
    <n v="222"/>
    <x v="2"/>
    <n v="585"/>
    <x v="1"/>
    <n v="3.4"/>
    <s v="0–3.9 s"/>
    <n v="160"/>
    <x v="1"/>
    <s v="CCS"/>
    <n v="1700"/>
    <s v="620"/>
    <n v="5"/>
    <s v="AWD"/>
    <s v="F - Luxury"/>
    <n v="5223"/>
    <n v="1926"/>
    <n v="1518"/>
    <x v="4"/>
    <s v="https://ev-database.org/car/2197/Mercedes-Benz-EQS-AMG-53-4MATICplus"/>
  </r>
  <r>
    <x v="35"/>
    <x v="243"/>
    <n v="210"/>
    <x v="1"/>
    <n v="118"/>
    <s v="61+ kWh"/>
    <s v="Lithium-ion"/>
    <m/>
    <n v="800"/>
    <n v="199"/>
    <x v="2"/>
    <n v="530"/>
    <x v="1"/>
    <n v="6.1"/>
    <s v="6.0–7.9 s"/>
    <n v="160"/>
    <x v="1"/>
    <s v="CCS"/>
    <n v="1800"/>
    <s v="645"/>
    <n v="7"/>
    <s v="AWD"/>
    <s v="JF - Luxury"/>
    <n v="5125"/>
    <n v="1959"/>
    <n v="1718"/>
    <x v="1"/>
    <s v="https://ev-database.org/car/2088/Mercedes-Benz-EQS-SUV-450-4MATIC"/>
  </r>
  <r>
    <x v="35"/>
    <x v="244"/>
    <n v="210"/>
    <x v="1"/>
    <n v="118"/>
    <s v="61+ kWh"/>
    <s v="Lithium-ion"/>
    <m/>
    <n v="568"/>
    <n v="195"/>
    <x v="2"/>
    <n v="540"/>
    <x v="1"/>
    <n v="6.8"/>
    <s v="6.0–7.9 s"/>
    <n v="160"/>
    <x v="1"/>
    <s v="CCS"/>
    <n v="750"/>
    <s v="645"/>
    <n v="7"/>
    <s v="RWD"/>
    <s v="JF - Luxury"/>
    <n v="5125"/>
    <n v="1959"/>
    <n v="1718"/>
    <x v="1"/>
    <s v="https://ev-database.org/car/2087/Mercedes-Benz-EQS-SUV-450plus"/>
  </r>
  <r>
    <x v="35"/>
    <x v="245"/>
    <n v="210"/>
    <x v="1"/>
    <n v="118"/>
    <s v="61+ kWh"/>
    <s v="Lithium-ion"/>
    <m/>
    <n v="828"/>
    <n v="199"/>
    <x v="2"/>
    <n v="530"/>
    <x v="1"/>
    <n v="5.3"/>
    <s v="4.0–5.9 s"/>
    <n v="160"/>
    <x v="1"/>
    <s v="CCS"/>
    <n v="1800"/>
    <s v="645"/>
    <n v="7"/>
    <s v="AWD"/>
    <s v="JF - Luxury"/>
    <n v="5125"/>
    <n v="1959"/>
    <n v="1718"/>
    <x v="1"/>
    <s v="https://ev-database.org/car/2089/Mercedes-Benz-EQS-SUV-500-4MATIC"/>
  </r>
  <r>
    <x v="35"/>
    <x v="246"/>
    <n v="210"/>
    <x v="1"/>
    <n v="118"/>
    <s v="61+ kWh"/>
    <s v="Lithium-ion"/>
    <m/>
    <n v="858"/>
    <n v="199"/>
    <x v="2"/>
    <n v="530"/>
    <x v="1"/>
    <n v="4.7"/>
    <s v="4.0–5.9 s"/>
    <n v="160"/>
    <x v="1"/>
    <s v="CCS"/>
    <n v="1800"/>
    <s v="13 Banana Boxes"/>
    <n v="7"/>
    <s v="AWD"/>
    <s v="JF - Luxury"/>
    <n v="5125"/>
    <n v="1959"/>
    <n v="1718"/>
    <x v="1"/>
    <s v="https://ev-database.org/car/2090/Mercedes-Benz-EQS-SUV-580-4MATIC"/>
  </r>
  <r>
    <x v="35"/>
    <x v="247"/>
    <n v="210"/>
    <x v="1"/>
    <n v="118"/>
    <s v="61+ kWh"/>
    <s v="Lithium-ion"/>
    <m/>
    <n v="950"/>
    <n v="211"/>
    <x v="2"/>
    <n v="490"/>
    <x v="1"/>
    <n v="4.4000000000000004"/>
    <s v="4.0–5.9 s"/>
    <n v="160"/>
    <x v="1"/>
    <s v="CCS"/>
    <n v="1800"/>
    <s v="440"/>
    <n v="4"/>
    <s v="AWD"/>
    <s v="JF - Luxury"/>
    <n v="5125"/>
    <n v="1959"/>
    <n v="1725"/>
    <x v="1"/>
    <s v="https://ev-database.org/car/2086/Mercedes-Benz-EQS-SUV-Maybach-680"/>
  </r>
  <r>
    <x v="35"/>
    <x v="248"/>
    <n v="132"/>
    <x v="5"/>
    <n v="45"/>
    <s v="31–60 kWh"/>
    <s v="Lithium-ion"/>
    <m/>
    <n v="245"/>
    <n v="177"/>
    <x v="2"/>
    <n v="220"/>
    <x v="0"/>
    <n v="13.3"/>
    <s v="8.0+ s"/>
    <n v="50"/>
    <x v="0"/>
    <s v="CCS"/>
    <n v="1500"/>
    <s v="828"/>
    <n v="7"/>
    <s v="FWD"/>
    <s v="N - Passenger Van"/>
    <n v="4922"/>
    <n v="1859"/>
    <n v="1811"/>
    <x v="5"/>
    <s v="https://ev-database.org/car/2239/Mercedes-Benz-EQT-200-Long"/>
  </r>
  <r>
    <x v="35"/>
    <x v="249"/>
    <n v="132"/>
    <x v="5"/>
    <n v="45"/>
    <s v="31–60 kWh"/>
    <s v="Lithium-ion"/>
    <m/>
    <n v="245"/>
    <n v="167"/>
    <x v="2"/>
    <n v="225"/>
    <x v="0"/>
    <n v="12.6"/>
    <s v="8.0+ s"/>
    <n v="50"/>
    <x v="0"/>
    <s v="CCS"/>
    <n v="1500"/>
    <s v="551"/>
    <n v="5"/>
    <s v="FWD"/>
    <s v="N - Passenger Van"/>
    <n v="4498"/>
    <n v="1859"/>
    <n v="1819"/>
    <x v="5"/>
    <s v="https://ev-database.org/car/1908/Mercedes-Benz-EQT-200-Standard"/>
  </r>
  <r>
    <x v="35"/>
    <x v="250"/>
    <n v="160"/>
    <x v="0"/>
    <n v="60"/>
    <s v="31–60 kWh"/>
    <s v="Lithium-ion"/>
    <n v="192"/>
    <n v="365"/>
    <n v="282"/>
    <x v="2"/>
    <n v="210"/>
    <x v="0"/>
    <n v="12"/>
    <s v="8.0+ s"/>
    <n v="60"/>
    <x v="0"/>
    <s v="CCS"/>
    <n v="0"/>
    <s v="1410"/>
    <n v="7"/>
    <s v="FWD"/>
    <s v="N - Passenger Van"/>
    <n v="5370"/>
    <n v="1928"/>
    <n v="1911"/>
    <x v="5"/>
    <s v="https://ev-database.org/car/2130/Mercedes-Benz-EQV-250-Extra-Long"/>
  </r>
  <r>
    <x v="35"/>
    <x v="251"/>
    <n v="160"/>
    <x v="0"/>
    <n v="60"/>
    <s v="31–60 kWh"/>
    <s v="Lithium-ion"/>
    <n v="192"/>
    <n v="365"/>
    <n v="282"/>
    <x v="2"/>
    <n v="215"/>
    <x v="0"/>
    <n v="12"/>
    <s v="8.0+ s"/>
    <n v="60"/>
    <x v="0"/>
    <s v="CCS"/>
    <n v="0"/>
    <s v="1030"/>
    <n v="7"/>
    <s v="FWD"/>
    <s v="N - Passenger Van"/>
    <n v="5140"/>
    <n v="1928"/>
    <n v="1910"/>
    <x v="5"/>
    <s v="https://ev-database.org/car/2129/Mercedes-Benz-EQV-250-Long"/>
  </r>
  <r>
    <x v="35"/>
    <x v="252"/>
    <n v="140"/>
    <x v="5"/>
    <n v="90"/>
    <s v="61+ kWh"/>
    <s v="Lithium-ion"/>
    <n v="288"/>
    <n v="365"/>
    <n v="249"/>
    <x v="2"/>
    <n v="315"/>
    <x v="0"/>
    <n v="12.2"/>
    <s v="8.0+ s"/>
    <n v="96"/>
    <x v="0"/>
    <s v="CCS"/>
    <n v="0"/>
    <s v="1410"/>
    <n v="7"/>
    <s v="FWD"/>
    <s v="N - Passenger Van"/>
    <n v="5370"/>
    <n v="1928"/>
    <n v="1901"/>
    <x v="5"/>
    <s v="https://ev-database.org/car/2274/Mercedes-Benz-EQV-300-Extra-Long"/>
  </r>
  <r>
    <x v="35"/>
    <x v="253"/>
    <n v="160"/>
    <x v="0"/>
    <n v="90"/>
    <s v="61+ kWh"/>
    <s v="Lithium-ion"/>
    <n v="288"/>
    <n v="365"/>
    <n v="276"/>
    <x v="2"/>
    <n v="320"/>
    <x v="0"/>
    <n v="12.1"/>
    <s v="8.0+ s"/>
    <n v="96"/>
    <x v="0"/>
    <s v="CCS"/>
    <n v="0"/>
    <s v="1030"/>
    <n v="7"/>
    <s v="FWD"/>
    <s v="N - Passenger Van"/>
    <n v="5140"/>
    <n v="1928"/>
    <n v="1901"/>
    <x v="5"/>
    <s v="https://ev-database.org/car/2131/Mercedes-Benz-EQV-300-Long"/>
  </r>
  <r>
    <x v="35"/>
    <x v="254"/>
    <n v="180"/>
    <x v="2"/>
    <n v="116"/>
    <s v="61+ kWh"/>
    <s v="Lithium-ion"/>
    <n v="216"/>
    <n v="1164"/>
    <n v="267"/>
    <x v="2"/>
    <n v="360"/>
    <x v="0"/>
    <n v="4.7"/>
    <s v="4.0–5.9 s"/>
    <n v="150"/>
    <x v="1"/>
    <s v="CCS"/>
    <n v="0"/>
    <s v="555"/>
    <n v="5"/>
    <s v="AWD"/>
    <s v="JF - Luxury"/>
    <n v="4624"/>
    <n v="1931"/>
    <n v="1986"/>
    <x v="1"/>
    <s v="https://ev-database.org/car/2192/Mercedes-Benz-G-580"/>
  </r>
  <r>
    <x v="35"/>
    <x v="255"/>
    <n v="160"/>
    <x v="0"/>
    <n v="60"/>
    <s v="31–60 kWh"/>
    <s v="Lithium-ion"/>
    <n v="192"/>
    <n v="360"/>
    <n v="254"/>
    <x v="2"/>
    <n v="215"/>
    <x v="0"/>
    <n v="12"/>
    <s v="8.0+ s"/>
    <n v="60"/>
    <x v="0"/>
    <s v="CCS"/>
    <n v="0"/>
    <s v="1390"/>
    <n v="8"/>
    <s v="FWD"/>
    <s v="N - Passenger Van"/>
    <n v="5370"/>
    <n v="1928"/>
    <n v="1890"/>
    <x v="5"/>
    <s v="https://ev-database.org/car/2139/Mercedes-Benz-eVito-Tourer-Extra-Long-60-kWh"/>
  </r>
  <r>
    <x v="35"/>
    <x v="256"/>
    <n v="160"/>
    <x v="0"/>
    <n v="60"/>
    <s v="31–60 kWh"/>
    <s v="Lithium-ion"/>
    <n v="192"/>
    <n v="360"/>
    <n v="259"/>
    <x v="2"/>
    <n v="220"/>
    <x v="0"/>
    <n v="12"/>
    <s v="8.0+ s"/>
    <n v="60"/>
    <x v="0"/>
    <s v="CCS"/>
    <n v="0"/>
    <s v="990"/>
    <n v="8"/>
    <s v="FWD"/>
    <s v="N - Passenger Van"/>
    <n v="5140"/>
    <n v="1928"/>
    <n v="1890"/>
    <x v="5"/>
    <s v="https://ev-database.org/car/2138/Mercedes-Benz-eVito-Tourer-Long-60-kWh"/>
  </r>
  <r>
    <x v="35"/>
    <x v="257"/>
    <n v="160"/>
    <x v="0"/>
    <n v="90"/>
    <s v="61+ kWh"/>
    <s v="Lithium-ion"/>
    <n v="288"/>
    <n v="360"/>
    <n v="260"/>
    <x v="2"/>
    <n v="325"/>
    <x v="0"/>
    <n v="12.1"/>
    <s v="8.0+ s"/>
    <n v="96"/>
    <x v="0"/>
    <s v="CCS"/>
    <n v="0"/>
    <s v="990"/>
    <n v="8"/>
    <s v="FWD"/>
    <s v="N - Passenger Van"/>
    <n v="5140"/>
    <n v="1928"/>
    <n v="1890"/>
    <x v="5"/>
    <s v="https://ev-database.org/car/2140/Mercedes-Benz-eVito-Tourer-Long-90-kWh"/>
  </r>
  <r>
    <x v="36"/>
    <x v="258"/>
    <n v="160"/>
    <x v="0"/>
    <n v="38.5"/>
    <s v="31–60 kWh"/>
    <s v="Lithium-ion"/>
    <m/>
    <n v="290"/>
    <n v="129"/>
    <x v="1"/>
    <n v="230"/>
    <x v="0"/>
    <n v="7.9"/>
    <s v="6.0–7.9 s"/>
    <n v="60"/>
    <x v="0"/>
    <s v="CCS"/>
    <n v="750"/>
    <s v="300"/>
    <n v="5"/>
    <s v="FWD"/>
    <s v="JB - Compact"/>
    <n v="4079"/>
    <n v="1754"/>
    <n v="1514"/>
    <x v="1"/>
    <s v="https://ev-database.org/car/2190/Mini-Aceman-E"/>
  </r>
  <r>
    <x v="36"/>
    <x v="259"/>
    <n v="200"/>
    <x v="1"/>
    <n v="49.2"/>
    <s v="31–60 kWh"/>
    <s v="Lithium-ion"/>
    <m/>
    <n v="350"/>
    <n v="143"/>
    <x v="0"/>
    <n v="280"/>
    <x v="0"/>
    <n v="6.4"/>
    <s v="6.0–7.9 s"/>
    <n v="75"/>
    <x v="0"/>
    <s v="CCS"/>
    <n v="750"/>
    <s v="300"/>
    <n v="5"/>
    <s v="FWD"/>
    <s v="JB - Compact"/>
    <n v="4079"/>
    <n v="1754"/>
    <n v="1514"/>
    <x v="1"/>
    <s v="https://ev-database.org/car/3059/Mini-Aceman-JCW"/>
  </r>
  <r>
    <x v="36"/>
    <x v="260"/>
    <n v="170"/>
    <x v="0"/>
    <n v="49.2"/>
    <s v="31–60 kWh"/>
    <s v="Lithium-ion"/>
    <m/>
    <n v="330"/>
    <n v="129"/>
    <x v="1"/>
    <n v="290"/>
    <x v="0"/>
    <n v="7.1"/>
    <s v="6.0–7.9 s"/>
    <n v="75"/>
    <x v="0"/>
    <s v="CCS"/>
    <n v="750"/>
    <s v="300"/>
    <n v="5"/>
    <s v="FWD"/>
    <s v="JB - Compact"/>
    <n v="4079"/>
    <n v="1754"/>
    <n v="1514"/>
    <x v="1"/>
    <s v="https://ev-database.org/car/2191/Mini-Aceman-SE"/>
  </r>
  <r>
    <x v="36"/>
    <x v="261"/>
    <n v="160"/>
    <x v="0"/>
    <n v="36.6"/>
    <s v="31–60 kWh"/>
    <s v="Lithium-ion"/>
    <m/>
    <n v="290"/>
    <n v="125"/>
    <x v="1"/>
    <n v="250"/>
    <x v="0"/>
    <n v="7.3"/>
    <s v="6.0–7.9 s"/>
    <n v="60"/>
    <x v="0"/>
    <s v="CCS"/>
    <n v="0"/>
    <s v="200"/>
    <n v="4"/>
    <s v="FWD"/>
    <s v="B - Compact"/>
    <n v="3858"/>
    <n v="1756"/>
    <n v="1460"/>
    <x v="0"/>
    <s v="https://ev-database.org/car/1997/Mini-Cooper-E"/>
  </r>
  <r>
    <x v="36"/>
    <x v="262"/>
    <n v="200"/>
    <x v="1"/>
    <n v="49.2"/>
    <s v="31–60 kWh"/>
    <s v="Lithium-ion"/>
    <m/>
    <n v="350"/>
    <n v="135"/>
    <x v="0"/>
    <n v="290"/>
    <x v="0"/>
    <n v="5.9"/>
    <s v="4.0–5.9 s"/>
    <n v="75"/>
    <x v="0"/>
    <s v="CCS"/>
    <n v="0"/>
    <s v="200"/>
    <n v="4"/>
    <s v="FWD"/>
    <s v="B - Compact"/>
    <n v="3858"/>
    <n v="1756"/>
    <n v="1460"/>
    <x v="0"/>
    <s v="https://ev-database.org/car/3058/Mini-Cooper-JCW"/>
  </r>
  <r>
    <x v="36"/>
    <x v="263"/>
    <n v="170"/>
    <x v="0"/>
    <n v="49.2"/>
    <s v="31–60 kWh"/>
    <s v="Lithium-ion"/>
    <m/>
    <n v="330"/>
    <n v="127"/>
    <x v="1"/>
    <n v="330"/>
    <x v="0"/>
    <n v="6.7"/>
    <s v="6.0–7.9 s"/>
    <n v="75"/>
    <x v="0"/>
    <s v="CCS"/>
    <n v="0"/>
    <s v="200"/>
    <n v="4"/>
    <s v="FWD"/>
    <s v="B - Compact"/>
    <n v="3858"/>
    <n v="1756"/>
    <n v="1460"/>
    <x v="0"/>
    <s v="https://ev-database.org/car/1998/Mini-Cooper-SE"/>
  </r>
  <r>
    <x v="36"/>
    <x v="264"/>
    <n v="170"/>
    <x v="0"/>
    <n v="64.599999999999994"/>
    <s v="61+ kWh"/>
    <s v="Lithium-ion"/>
    <m/>
    <n v="250"/>
    <n v="140"/>
    <x v="0"/>
    <n v="380"/>
    <x v="0"/>
    <n v="8.6"/>
    <s v="8.0+ s"/>
    <n v="94"/>
    <x v="0"/>
    <s v="CCS"/>
    <n v="750"/>
    <s v="460"/>
    <n v="5"/>
    <s v="FWD"/>
    <s v="JC - Medium"/>
    <n v="4433"/>
    <n v="1843"/>
    <n v="1656"/>
    <x v="1"/>
    <s v="https://ev-database.org/car/1994/Mini-Countryman-E"/>
  </r>
  <r>
    <x v="36"/>
    <x v="265"/>
    <n v="180"/>
    <x v="2"/>
    <n v="64.599999999999994"/>
    <s v="61+ kWh"/>
    <s v="Lithium-ion"/>
    <m/>
    <n v="494"/>
    <n v="149"/>
    <x v="0"/>
    <n v="365"/>
    <x v="0"/>
    <n v="5.6"/>
    <s v="4.0–5.9 s"/>
    <n v="94"/>
    <x v="0"/>
    <s v="CCS"/>
    <n v="1200"/>
    <s v="460"/>
    <n v="5"/>
    <s v="AWD"/>
    <s v="JC - Medium"/>
    <n v="4433"/>
    <n v="1843"/>
    <n v="1656"/>
    <x v="1"/>
    <s v="https://ev-database.org/car/1995/Mini-Countryman-SE-ALL4"/>
  </r>
  <r>
    <x v="37"/>
    <x v="266"/>
    <n v="200"/>
    <x v="1"/>
    <n v="90"/>
    <s v="61+ kWh"/>
    <s v="Lithium-ion"/>
    <n v="96"/>
    <n v="700"/>
    <n v="170"/>
    <x v="2"/>
    <n v="435"/>
    <x v="1"/>
    <n v="4.5"/>
    <s v="4.0–5.9 s"/>
    <n v="135"/>
    <x v="2"/>
    <s v="CCS"/>
    <n v="1200"/>
    <s v="579"/>
    <n v="5"/>
    <s v="AWD"/>
    <s v="JE - Executive"/>
    <n v="4854"/>
    <n v="1995"/>
    <n v="1703"/>
    <x v="1"/>
    <s v="https://ev-database.org/car/1922/NIO-EL6-Long-Range"/>
  </r>
  <r>
    <x v="37"/>
    <x v="267"/>
    <n v="200"/>
    <x v="1"/>
    <n v="73.5"/>
    <s v="61+ kWh"/>
    <s v="Lithium-ion"/>
    <n v="118"/>
    <n v="700"/>
    <n v="181"/>
    <x v="2"/>
    <n v="365"/>
    <x v="0"/>
    <n v="4.5"/>
    <s v="4.0–5.9 s"/>
    <n v="110"/>
    <x v="2"/>
    <s v="CCS"/>
    <n v="1200"/>
    <s v="579"/>
    <n v="5"/>
    <s v="AWD"/>
    <s v="JE - Executive"/>
    <n v="4854"/>
    <n v="1995"/>
    <n v="1703"/>
    <x v="1"/>
    <s v="https://ev-database.org/car/1921/NIO-EL6-Standard-Range"/>
  </r>
  <r>
    <x v="37"/>
    <x v="268"/>
    <n v="200"/>
    <x v="1"/>
    <n v="90"/>
    <s v="61+ kWh"/>
    <s v="Lithium-ion"/>
    <n v="96"/>
    <n v="850"/>
    <n v="185"/>
    <x v="2"/>
    <n v="430"/>
    <x v="1"/>
    <n v="3.9"/>
    <s v="0–3.9 s"/>
    <n v="100"/>
    <x v="2"/>
    <s v="CCS"/>
    <n v="2000"/>
    <s v="570"/>
    <n v="5"/>
    <s v="AWD"/>
    <s v="JF - Luxury"/>
    <n v="4912"/>
    <n v="1987"/>
    <n v="1720"/>
    <x v="1"/>
    <s v="https://ev-database.org/car/1789/NIO-EL7-Long-Range"/>
  </r>
  <r>
    <x v="37"/>
    <x v="269"/>
    <n v="200"/>
    <x v="1"/>
    <n v="73.5"/>
    <s v="61+ kWh"/>
    <s v="Lithium-ion"/>
    <n v="118"/>
    <n v="850"/>
    <n v="198"/>
    <x v="2"/>
    <n v="355"/>
    <x v="0"/>
    <n v="3.9"/>
    <s v="0–3.9 s"/>
    <n v="110"/>
    <x v="2"/>
    <s v="CCS"/>
    <n v="2000"/>
    <s v="570"/>
    <n v="5"/>
    <s v="AWD"/>
    <s v="JF - Luxury"/>
    <n v="4912"/>
    <n v="1987"/>
    <n v="1720"/>
    <x v="1"/>
    <s v="https://ev-database.org/car/1788/NIO-EL7-Standard-Range"/>
  </r>
  <r>
    <x v="37"/>
    <x v="270"/>
    <n v="200"/>
    <x v="1"/>
    <n v="90"/>
    <s v="61+ kWh"/>
    <s v="Lithium-ion"/>
    <n v="96"/>
    <n v="850"/>
    <n v="185"/>
    <x v="2"/>
    <n v="440"/>
    <x v="1"/>
    <n v="4.0999999999999996"/>
    <s v="4.0–5.9 s"/>
    <n v="190"/>
    <x v="1"/>
    <s v="CCS"/>
    <n v="2000"/>
    <s v="265"/>
    <n v="6"/>
    <s v="AWD"/>
    <s v="JF - Luxury"/>
    <n v="5099"/>
    <n v="1989"/>
    <n v="1750"/>
    <x v="1"/>
    <s v="https://ev-database.org/car/2223/NIO-EL8-Long-Range"/>
  </r>
  <r>
    <x v="37"/>
    <x v="271"/>
    <n v="200"/>
    <x v="1"/>
    <n v="73.5"/>
    <s v="61+ kWh"/>
    <s v="Lithium-ion"/>
    <n v="118"/>
    <n v="850"/>
    <n v="196"/>
    <x v="2"/>
    <n v="360"/>
    <x v="0"/>
    <n v="4.0999999999999996"/>
    <s v="4.0–5.9 s"/>
    <n v="110"/>
    <x v="2"/>
    <s v="CCS"/>
    <n v="2000"/>
    <s v="265"/>
    <n v="6"/>
    <s v="AWD"/>
    <s v="JF - Luxury"/>
    <n v="5099"/>
    <n v="1989"/>
    <n v="1750"/>
    <x v="1"/>
    <s v="https://ev-database.org/car/2222/NIO-EL8-Standard-Range"/>
  </r>
  <r>
    <x v="37"/>
    <x v="272"/>
    <n v="200"/>
    <x v="1"/>
    <n v="90"/>
    <s v="61+ kWh"/>
    <s v="Lithium-ion"/>
    <n v="96"/>
    <n v="700"/>
    <n v="167"/>
    <x v="2"/>
    <n v="500"/>
    <x v="1"/>
    <n v="4"/>
    <s v="4.0–5.9 s"/>
    <n v="100"/>
    <x v="2"/>
    <s v="CCS"/>
    <n v="1400"/>
    <s v="386"/>
    <n v="5"/>
    <s v="AWD"/>
    <s v="E - Executive"/>
    <n v="4790"/>
    <n v="1960"/>
    <n v="1499"/>
    <x v="4"/>
    <s v="https://ev-database.org/car/1787/NIO-ET5-Long-Range"/>
  </r>
  <r>
    <x v="37"/>
    <x v="273"/>
    <n v="200"/>
    <x v="1"/>
    <n v="73.5"/>
    <s v="61+ kWh"/>
    <s v="Lithium-ion"/>
    <n v="118"/>
    <n v="700"/>
    <n v="175"/>
    <x v="2"/>
    <n v="410"/>
    <x v="1"/>
    <n v="4"/>
    <s v="4.0–5.9 s"/>
    <n v="110"/>
    <x v="2"/>
    <s v="CCS"/>
    <n v="1400"/>
    <s v="386"/>
    <n v="5"/>
    <s v="AWD"/>
    <s v="E - Executive"/>
    <n v="4790"/>
    <n v="1960"/>
    <n v="1499"/>
    <x v="4"/>
    <s v="https://ev-database.org/car/1786/NIO-ET5-Standard-Range"/>
  </r>
  <r>
    <x v="37"/>
    <x v="274"/>
    <n v="200"/>
    <x v="1"/>
    <n v="90"/>
    <s v="61+ kWh"/>
    <s v="Lithium-ion"/>
    <n v="96"/>
    <n v="700"/>
    <n v="178"/>
    <x v="2"/>
    <n v="485"/>
    <x v="1"/>
    <n v="4"/>
    <s v="4.0–5.9 s"/>
    <n v="135"/>
    <x v="2"/>
    <s v="CCS"/>
    <n v="1400"/>
    <s v="450"/>
    <n v="5"/>
    <s v="AWD"/>
    <s v="E - Executive"/>
    <n v="4790"/>
    <n v="1960"/>
    <n v="1499"/>
    <x v="2"/>
    <s v="https://ev-database.org/car/1916/NIO-ET5-Touring-Long-Range"/>
  </r>
  <r>
    <x v="37"/>
    <x v="275"/>
    <n v="200"/>
    <x v="1"/>
    <n v="73.5"/>
    <s v="61+ kWh"/>
    <s v="Lithium-ion"/>
    <n v="118"/>
    <n v="700"/>
    <n v="169"/>
    <x v="2"/>
    <n v="400"/>
    <x v="0"/>
    <n v="4"/>
    <s v="4.0–5.9 s"/>
    <n v="110"/>
    <x v="2"/>
    <s v="CCS"/>
    <n v="1400"/>
    <s v="450"/>
    <n v="5"/>
    <s v="AWD"/>
    <s v="E - Executive"/>
    <n v="4790"/>
    <n v="1960"/>
    <n v="1499"/>
    <x v="2"/>
    <s v="https://ev-database.org/car/1915/NIO-ET5-Touring-Standard-Range"/>
  </r>
  <r>
    <x v="37"/>
    <x v="276"/>
    <n v="200"/>
    <x v="1"/>
    <n v="90"/>
    <s v="61+ kWh"/>
    <s v="Lithium-ion"/>
    <n v="96"/>
    <n v="850"/>
    <n v="178"/>
    <x v="2"/>
    <n v="505"/>
    <x v="1"/>
    <n v="3.8"/>
    <s v="0–3.9 s"/>
    <n v="100"/>
    <x v="2"/>
    <s v="CCS"/>
    <n v="2000"/>
    <s v="363"/>
    <n v="5"/>
    <s v="AWD"/>
    <s v="F - Luxury"/>
    <n v="5101"/>
    <n v="1987"/>
    <n v="1509"/>
    <x v="4"/>
    <s v="https://ev-database.org/car/1752/NIO-ET7-Long-Range"/>
  </r>
  <r>
    <x v="37"/>
    <x v="277"/>
    <n v="200"/>
    <x v="1"/>
    <n v="73.5"/>
    <s v="61+ kWh"/>
    <s v="Lithium-ion"/>
    <n v="118"/>
    <n v="850"/>
    <n v="191"/>
    <x v="2"/>
    <n v="415"/>
    <x v="1"/>
    <n v="3.8"/>
    <s v="0–3.9 s"/>
    <n v="110"/>
    <x v="2"/>
    <s v="CCS"/>
    <n v="2000"/>
    <s v="363"/>
    <n v="5"/>
    <s v="AWD"/>
    <s v="F - Luxury"/>
    <n v="5101"/>
    <n v="1987"/>
    <n v="1509"/>
    <x v="4"/>
    <s v="https://ev-database.org/car/1751/NIO-ET7-Standard-Range"/>
  </r>
  <r>
    <x v="38"/>
    <x v="278"/>
    <n v="160"/>
    <x v="0"/>
    <n v="63"/>
    <s v="61+ kWh"/>
    <s v="Lithium-ion"/>
    <m/>
    <n v="300"/>
    <n v="175"/>
    <x v="2"/>
    <n v="335"/>
    <x v="0"/>
    <n v="7.5"/>
    <s v="6.0–7.9 s"/>
    <n v="90"/>
    <x v="0"/>
    <s v="CCS"/>
    <n v="750"/>
    <s v="468"/>
    <n v="5"/>
    <s v="FWD"/>
    <s v="JC - Medium"/>
    <n v="4595"/>
    <n v="1850"/>
    <n v="1660"/>
    <x v="1"/>
    <s v="https://ev-database.org/car/1301/Nissan-Ariya-63kWh"/>
  </r>
  <r>
    <x v="38"/>
    <x v="279"/>
    <n v="160"/>
    <x v="0"/>
    <n v="87"/>
    <s v="61+ kWh"/>
    <s v="Lithium-ion"/>
    <m/>
    <n v="300"/>
    <n v="169"/>
    <x v="2"/>
    <n v="450"/>
    <x v="1"/>
    <n v="7.6"/>
    <s v="6.0–7.9 s"/>
    <n v="110"/>
    <x v="2"/>
    <s v="CCS"/>
    <n v="750"/>
    <s v="468"/>
    <n v="5"/>
    <s v="FWD"/>
    <s v="JC - Medium"/>
    <n v="4595"/>
    <n v="1850"/>
    <n v="1660"/>
    <x v="1"/>
    <s v="https://ev-database.org/car/1302/Nissan-Ariya-87kWh"/>
  </r>
  <r>
    <x v="38"/>
    <x v="280"/>
    <n v="200"/>
    <x v="1"/>
    <n v="87"/>
    <s v="61+ kWh"/>
    <s v="Lithium-ion"/>
    <m/>
    <n v="600"/>
    <n v="190"/>
    <x v="2"/>
    <n v="405"/>
    <x v="1"/>
    <n v="5.7"/>
    <s v="4.0–5.9 s"/>
    <n v="110"/>
    <x v="2"/>
    <s v="CCS"/>
    <n v="1500"/>
    <s v="415"/>
    <n v="5"/>
    <s v="AWD"/>
    <s v="JC - Medium"/>
    <n v="4595"/>
    <n v="1850"/>
    <n v="1660"/>
    <x v="1"/>
    <s v="https://ev-database.org/car/1304/Nissan-Ariya-e-4ORCE-87kWh---225-kW"/>
  </r>
  <r>
    <x v="38"/>
    <x v="281"/>
    <n v="200"/>
    <x v="1"/>
    <n v="87"/>
    <s v="61+ kWh"/>
    <s v="Lithium-ion"/>
    <m/>
    <n v="600"/>
    <n v="209"/>
    <x v="2"/>
    <n v="385"/>
    <x v="0"/>
    <n v="5"/>
    <s v="4.0–5.9 s"/>
    <n v="110"/>
    <x v="2"/>
    <s v="CCS"/>
    <m/>
    <s v="415"/>
    <n v="5"/>
    <s v="AWD"/>
    <s v="JC - Medium"/>
    <n v="4655"/>
    <n v="1850"/>
    <n v="1660"/>
    <x v="1"/>
    <s v="https://ev-database.org/car/3074/Nissan-Ariya-e-4ORCE-87kWh---320-kW-Nismo"/>
  </r>
  <r>
    <x v="38"/>
    <x v="282"/>
    <n v="132"/>
    <x v="5"/>
    <n v="45"/>
    <s v="31–60 kWh"/>
    <s v="Lithium-ion"/>
    <m/>
    <n v="245"/>
    <n v="158"/>
    <x v="0"/>
    <n v="225"/>
    <x v="0"/>
    <n v="12.6"/>
    <s v="8.0+ s"/>
    <n v="50"/>
    <x v="0"/>
    <s v="CCS"/>
    <n v="1500"/>
    <s v="819"/>
    <n v="5"/>
    <s v="FWD"/>
    <s v="N - Passenger Van"/>
    <n v="4488"/>
    <n v="1860"/>
    <n v="1838"/>
    <x v="5"/>
    <s v="https://ev-database.org/car/2042/Nissan-Townstar-EV-Passenger"/>
  </r>
  <r>
    <x v="38"/>
    <x v="283"/>
    <n v="130"/>
    <x v="5"/>
    <n v="45"/>
    <s v="31–60 kWh"/>
    <s v="Lithium-ion"/>
    <m/>
    <n v="245"/>
    <n v="173"/>
    <x v="2"/>
    <n v="220"/>
    <x v="0"/>
    <n v="13.3"/>
    <s v="8.0+ s"/>
    <n v="50"/>
    <x v="0"/>
    <s v="CCS"/>
    <n v="1500"/>
    <s v="819"/>
    <n v="7"/>
    <s v="FWD"/>
    <s v="N - Passenger Van"/>
    <n v="4911"/>
    <n v="1860"/>
    <n v="1815"/>
    <x v="5"/>
    <s v="https://ev-database.org/car/3084/Nissan-Townstar-EV-Passenger-L2"/>
  </r>
  <r>
    <x v="39"/>
    <x v="284"/>
    <n v="172"/>
    <x v="0"/>
    <n v="61"/>
    <s v="61+ kWh"/>
    <s v="Lithium-ion"/>
    <m/>
    <n v="340"/>
    <n v="152"/>
    <x v="0"/>
    <n v="345"/>
    <x v="0"/>
    <n v="7.6"/>
    <s v="6.0–7.9 s"/>
    <n v="60"/>
    <x v="0"/>
    <s v="CCS"/>
    <m/>
    <s v="380"/>
    <n v="5"/>
    <s v="FWD"/>
    <s v="JC - Medium"/>
    <n v="4424"/>
    <n v="1830"/>
    <n v="1588"/>
    <x v="1"/>
    <s v="https://ev-database.org/car/3046/Omoda-E5"/>
  </r>
  <r>
    <x v="40"/>
    <x v="285"/>
    <n v="170"/>
    <x v="0"/>
    <n v="50.8"/>
    <s v="31–60 kWh"/>
    <s v="Lithium-ion"/>
    <n v="102"/>
    <n v="270"/>
    <n v="128"/>
    <x v="1"/>
    <n v="320"/>
    <x v="0"/>
    <n v="9.1999999999999993"/>
    <s v="8.0+ s"/>
    <n v="85"/>
    <x v="0"/>
    <s v="CCS"/>
    <n v="0"/>
    <s v="352"/>
    <n v="5"/>
    <s v="FWD"/>
    <s v="C - Medium"/>
    <n v="4374"/>
    <n v="1860"/>
    <n v="1470"/>
    <x v="0"/>
    <s v="https://ev-database.org/car/1792/Opel-Astra-Electric"/>
  </r>
  <r>
    <x v="40"/>
    <x v="286"/>
    <n v="170"/>
    <x v="0"/>
    <n v="50.8"/>
    <s v="31–60 kWh"/>
    <s v="Lithium-ion"/>
    <n v="102"/>
    <n v="270"/>
    <n v="123"/>
    <x v="1"/>
    <n v="310"/>
    <x v="0"/>
    <n v="9.3000000000000007"/>
    <s v="8.0+ s"/>
    <n v="85"/>
    <x v="0"/>
    <s v="CCS"/>
    <n v="0"/>
    <s v="516"/>
    <n v="5"/>
    <s v="FWD"/>
    <s v="C - Medium"/>
    <n v="4642"/>
    <n v="1860"/>
    <n v="1480"/>
    <x v="2"/>
    <s v="https://ev-database.org/car/1793/Opel-Astra-Sports-Tourer-Electric"/>
  </r>
  <r>
    <x v="40"/>
    <x v="287"/>
    <n v="135"/>
    <x v="5"/>
    <n v="50"/>
    <s v="31–60 kWh"/>
    <s v="Lithium-ion"/>
    <m/>
    <n v="260"/>
    <n v="149"/>
    <x v="0"/>
    <n v="235"/>
    <x v="0"/>
    <n v="11.3"/>
    <s v="8.0+ s"/>
    <n v="80"/>
    <x v="0"/>
    <s v="CCS"/>
    <n v="750"/>
    <s v="775"/>
    <n v="5"/>
    <s v="FWD"/>
    <s v="N - Passenger Van"/>
    <n v="4410"/>
    <n v="1921"/>
    <n v="1812"/>
    <x v="5"/>
    <s v="https://ev-database.org/car/2161/Opel-Combo-e-Life-50-kWh"/>
  </r>
  <r>
    <x v="40"/>
    <x v="288"/>
    <n v="135"/>
    <x v="5"/>
    <n v="50"/>
    <s v="31–60 kWh"/>
    <s v="Lithium-ion"/>
    <m/>
    <n v="260"/>
    <n v="149"/>
    <x v="0"/>
    <n v="230"/>
    <x v="0"/>
    <n v="11.3"/>
    <s v="8.0+ s"/>
    <n v="80"/>
    <x v="0"/>
    <s v="CCS"/>
    <n v="750"/>
    <s v="1050"/>
    <n v="7"/>
    <s v="FWD"/>
    <s v="N - Passenger Van"/>
    <n v="4760"/>
    <n v="1921"/>
    <n v="1818"/>
    <x v="5"/>
    <s v="https://ev-database.org/car/2162/Opel-Combo-e-Life-XL-50-kWh"/>
  </r>
  <r>
    <x v="40"/>
    <x v="289"/>
    <n v="150"/>
    <x v="0"/>
    <n v="46.3"/>
    <s v="31–60 kWh"/>
    <s v="Lithium-ion"/>
    <n v="216"/>
    <n v="260"/>
    <n v="131"/>
    <x v="0"/>
    <n v="290"/>
    <x v="0"/>
    <n v="8.6999999999999993"/>
    <s v="8.0+ s"/>
    <n v="78"/>
    <x v="0"/>
    <s v="CCS"/>
    <n v="0"/>
    <s v="267"/>
    <n v="5"/>
    <s v="FWD"/>
    <s v="B - Compact"/>
    <n v="4061"/>
    <n v="1765"/>
    <n v="1435"/>
    <x v="0"/>
    <s v="https://ev-database.org/car/1941/Opel-Corsa-Electric-50-kWh"/>
  </r>
  <r>
    <x v="40"/>
    <x v="290"/>
    <n v="150"/>
    <x v="0"/>
    <n v="48.1"/>
    <s v="31–60 kWh"/>
    <s v="Lithium-ion"/>
    <n v="96"/>
    <n v="260"/>
    <n v="120"/>
    <x v="1"/>
    <n v="315"/>
    <x v="0"/>
    <n v="8.1"/>
    <s v="8.0+ s"/>
    <n v="80"/>
    <x v="0"/>
    <s v="CCS"/>
    <n v="0"/>
    <s v="267"/>
    <n v="5"/>
    <s v="FWD"/>
    <s v="B - Compact"/>
    <n v="4061"/>
    <n v="1765"/>
    <n v="1435"/>
    <x v="0"/>
    <s v="https://ev-database.org/car/1942/Opel-Corsa-Electric-51-kWh"/>
  </r>
  <r>
    <x v="40"/>
    <x v="291"/>
    <n v="140"/>
    <x v="5"/>
    <n v="44"/>
    <s v="31–60 kWh"/>
    <s v="Lithium-ion"/>
    <m/>
    <n v="120"/>
    <n v="144"/>
    <x v="0"/>
    <n v="245"/>
    <x v="0"/>
    <n v="12.1"/>
    <s v="8.0+ s"/>
    <n v="60"/>
    <x v="0"/>
    <s v="CCS"/>
    <n v="350"/>
    <s v="460"/>
    <n v="5"/>
    <s v="FWD"/>
    <s v="JB - Compact"/>
    <n v="4385"/>
    <n v="1795"/>
    <n v="1635"/>
    <x v="1"/>
    <s v="https://ev-database.org/car/2238/Opel-Frontera-44-kWh"/>
  </r>
  <r>
    <x v="40"/>
    <x v="292"/>
    <n v="170"/>
    <x v="0"/>
    <n v="73"/>
    <s v="61+ kWh"/>
    <s v="Lithium-ion"/>
    <n v="96"/>
    <n v="260"/>
    <n v="145"/>
    <x v="0"/>
    <n v="365"/>
    <x v="0"/>
    <n v="9"/>
    <s v="8.0+ s"/>
    <n v="90"/>
    <x v="0"/>
    <s v="CCS"/>
    <n v="1200"/>
    <s v="550"/>
    <n v="5"/>
    <s v="FWD"/>
    <s v="JC - Medium"/>
    <n v="4650"/>
    <n v="1934"/>
    <n v="1665"/>
    <x v="1"/>
    <s v="https://ev-database.org/car/3037/Opel-Grandland-73-kWh"/>
  </r>
  <r>
    <x v="40"/>
    <x v="293"/>
    <n v="170"/>
    <x v="0"/>
    <n v="82.2"/>
    <s v="61+ kWh"/>
    <s v="Lithium-ion"/>
    <m/>
    <n v="260"/>
    <n v="146"/>
    <x v="0"/>
    <n v="410"/>
    <x v="1"/>
    <n v="9"/>
    <s v="8.0+ s"/>
    <n v="100"/>
    <x v="2"/>
    <s v="CCS"/>
    <n v="1200"/>
    <s v="550"/>
    <n v="5"/>
    <s v="FWD"/>
    <s v="JC - Medium"/>
    <n v="4650"/>
    <n v="1934"/>
    <n v="1665"/>
    <x v="1"/>
    <s v="https://ev-database.org/car/3038/Opel-Grandland-82-kWh"/>
  </r>
  <r>
    <x v="40"/>
    <x v="294"/>
    <n v="150"/>
    <x v="0"/>
    <n v="50.8"/>
    <s v="31–60 kWh"/>
    <s v="Lithium-ion"/>
    <n v="102"/>
    <n v="260"/>
    <n v="126"/>
    <x v="1"/>
    <n v="285"/>
    <x v="0"/>
    <n v="9"/>
    <s v="8.0+ s"/>
    <n v="85"/>
    <x v="0"/>
    <s v="CCS"/>
    <n v="0"/>
    <s v="310"/>
    <n v="5"/>
    <s v="FWD"/>
    <s v="JB - Compact"/>
    <n v="4151"/>
    <n v="1790"/>
    <n v="1534"/>
    <x v="1"/>
    <s v="https://ev-database.org/car/3051/Opel-Mokka-Electric"/>
  </r>
  <r>
    <x v="40"/>
    <x v="295"/>
    <n v="130"/>
    <x v="5"/>
    <n v="46.3"/>
    <s v="31–60 kWh"/>
    <s v="Lithium-ion"/>
    <n v="216"/>
    <n v="270"/>
    <n v="217"/>
    <x v="2"/>
    <n v="180"/>
    <x v="2"/>
    <n v="13.3"/>
    <s v="8.0+ s"/>
    <n v="78"/>
    <x v="0"/>
    <s v="CCS"/>
    <n v="1000"/>
    <s v="603"/>
    <n v="9"/>
    <s v="FWD"/>
    <s v="N - Passenger Van"/>
    <n v="4983"/>
    <n v="1920"/>
    <n v="1890"/>
    <x v="5"/>
    <s v="https://ev-database.org/car/2260/Opel-Zafira-e-Life-L2-50-kWh"/>
  </r>
  <r>
    <x v="40"/>
    <x v="296"/>
    <n v="130"/>
    <x v="5"/>
    <n v="68"/>
    <s v="61+ kWh"/>
    <s v="Lithium-ion"/>
    <n v="324"/>
    <n v="270"/>
    <n v="202"/>
    <x v="2"/>
    <n v="260"/>
    <x v="0"/>
    <n v="14.2"/>
    <s v="8.0+ s"/>
    <n v="79"/>
    <x v="0"/>
    <s v="CCS"/>
    <n v="1000"/>
    <s v="603"/>
    <n v="9"/>
    <s v="FWD"/>
    <s v="N - Passenger Van"/>
    <n v="4983"/>
    <n v="1920"/>
    <n v="1890"/>
    <x v="5"/>
    <s v="https://ev-database.org/car/2262/Opel-Zafira-e-Life-L2-75-kWh"/>
  </r>
  <r>
    <x v="40"/>
    <x v="297"/>
    <n v="130"/>
    <x v="5"/>
    <n v="46.3"/>
    <s v="31–60 kWh"/>
    <s v="Lithium-ion"/>
    <n v="216"/>
    <n v="270"/>
    <n v="219"/>
    <x v="2"/>
    <n v="180"/>
    <x v="2"/>
    <n v="13.3"/>
    <s v="8.0+ s"/>
    <n v="78"/>
    <x v="0"/>
    <s v="CCS"/>
    <n v="1000"/>
    <s v="989"/>
    <n v="9"/>
    <s v="FWD"/>
    <s v="N - Passenger Van"/>
    <n v="5333"/>
    <n v="1920"/>
    <n v="1890"/>
    <x v="5"/>
    <s v="https://ev-database.org/car/2261/Opel-Zafira-e-Life-L3-50-kWh"/>
  </r>
  <r>
    <x v="40"/>
    <x v="298"/>
    <n v="130"/>
    <x v="5"/>
    <n v="68"/>
    <s v="61+ kWh"/>
    <s v="Lithium-ion"/>
    <n v="324"/>
    <n v="260"/>
    <n v="204"/>
    <x v="2"/>
    <n v="260"/>
    <x v="0"/>
    <n v="14.2"/>
    <s v="8.0+ s"/>
    <n v="79"/>
    <x v="0"/>
    <s v="CCS"/>
    <n v="1000"/>
    <s v="989"/>
    <n v="9"/>
    <s v="FWD"/>
    <s v="N - Passenger Van"/>
    <n v="5333"/>
    <n v="1920"/>
    <n v="1890"/>
    <x v="5"/>
    <s v="https://ev-database.org/car/2263/Opel-Zafira-e-Life-L3-75-kWh"/>
  </r>
  <r>
    <x v="41"/>
    <x v="299"/>
    <n v="150"/>
    <x v="0"/>
    <n v="46.3"/>
    <s v="31–60 kWh"/>
    <s v="Lithium-ion"/>
    <n v="216"/>
    <n v="260"/>
    <n v="136"/>
    <x v="0"/>
    <n v="270"/>
    <x v="0"/>
    <n v="9.9"/>
    <s v="8.0+ s"/>
    <n v="78"/>
    <x v="0"/>
    <s v="CCS"/>
    <n v="0"/>
    <s v="434"/>
    <n v="5"/>
    <s v="FWD"/>
    <s v="JB - Compact"/>
    <n v="4304"/>
    <n v="1775"/>
    <n v="1523"/>
    <x v="1"/>
    <s v="https://ev-database.org/car/1946/Peugeot-e-2008-50-kWh"/>
  </r>
  <r>
    <x v="41"/>
    <x v="300"/>
    <n v="150"/>
    <x v="0"/>
    <n v="50.8"/>
    <s v="31–60 kWh"/>
    <s v="Lithium-ion"/>
    <n v="102"/>
    <n v="260"/>
    <n v="125"/>
    <x v="1"/>
    <n v="300"/>
    <x v="0"/>
    <n v="9.1"/>
    <s v="8.0+ s"/>
    <n v="85"/>
    <x v="0"/>
    <s v="CCS"/>
    <n v="0"/>
    <s v="434"/>
    <n v="5"/>
    <s v="FWD"/>
    <s v="JB - Compact"/>
    <n v="4304"/>
    <n v="1775"/>
    <n v="1523"/>
    <x v="1"/>
    <s v="https://ev-database.org/car/1947/Peugeot-e-2008-54-kWh"/>
  </r>
  <r>
    <x v="41"/>
    <x v="301"/>
    <n v="150"/>
    <x v="0"/>
    <n v="46.3"/>
    <s v="31–60 kWh"/>
    <s v="Lithium-ion"/>
    <n v="216"/>
    <n v="260"/>
    <n v="132"/>
    <x v="0"/>
    <n v="290"/>
    <x v="0"/>
    <n v="9"/>
    <s v="8.0+ s"/>
    <n v="78"/>
    <x v="0"/>
    <s v="CCS"/>
    <n v="0"/>
    <s v="265"/>
    <n v="5"/>
    <s v="FWD"/>
    <s v="B - Compact"/>
    <n v="4055"/>
    <n v="1765"/>
    <n v="1430"/>
    <x v="0"/>
    <s v="https://ev-database.org/car/1948/Peugeot-e-208-50-kWh"/>
  </r>
  <r>
    <x v="41"/>
    <x v="302"/>
    <n v="150"/>
    <x v="0"/>
    <n v="48.1"/>
    <s v="31–60 kWh"/>
    <s v="Lithium-ion"/>
    <n v="96"/>
    <n v="260"/>
    <n v="120"/>
    <x v="1"/>
    <n v="310"/>
    <x v="0"/>
    <n v="8.1999999999999993"/>
    <s v="8.0+ s"/>
    <n v="80"/>
    <x v="0"/>
    <s v="CCS"/>
    <n v="0"/>
    <s v="265"/>
    <n v="5"/>
    <s v="FWD"/>
    <s v="B - Compact"/>
    <n v="4055"/>
    <n v="1765"/>
    <n v="1430"/>
    <x v="0"/>
    <s v="https://ev-database.org/car/1949/Peugeot-e-208-51-kWh"/>
  </r>
  <r>
    <x v="41"/>
    <x v="303"/>
    <n v="170"/>
    <x v="0"/>
    <n v="73"/>
    <s v="61+ kWh"/>
    <s v="Lithium-ion"/>
    <n v="96"/>
    <n v="345"/>
    <n v="143"/>
    <x v="0"/>
    <n v="380"/>
    <x v="0"/>
    <n v="8.8000000000000007"/>
    <s v="8.0+ s"/>
    <n v="90"/>
    <x v="0"/>
    <s v="CCS"/>
    <n v="1250"/>
    <s v="588"/>
    <n v="5"/>
    <s v="FWD"/>
    <s v="JC - Medium"/>
    <n v="4542"/>
    <n v="1895"/>
    <n v="1641"/>
    <x v="1"/>
    <s v="https://ev-database.org/car/2003/Peugeot-e-3008-73-kWh"/>
  </r>
  <r>
    <x v="41"/>
    <x v="304"/>
    <n v="170"/>
    <x v="0"/>
    <n v="73"/>
    <s v="61+ kWh"/>
    <s v="Lithium-ion"/>
    <n v="96"/>
    <n v="511"/>
    <n v="195"/>
    <x v="2"/>
    <n v="375"/>
    <x v="0"/>
    <n v="6.4"/>
    <s v="6.0–7.9 s"/>
    <n v="90"/>
    <x v="0"/>
    <s v="CCS"/>
    <m/>
    <s v="588"/>
    <n v="5"/>
    <s v="AWD"/>
    <s v="JC - Medium"/>
    <n v="4542"/>
    <n v="1895"/>
    <n v="1641"/>
    <x v="1"/>
    <s v="https://ev-database.org/car/2004/Peugeot-e-3008-73-kWh-Dual-Motor"/>
  </r>
  <r>
    <x v="41"/>
    <x v="305"/>
    <n v="170"/>
    <x v="0"/>
    <n v="96.9"/>
    <s v="61+ kWh"/>
    <s v="Lithium-ion"/>
    <m/>
    <n v="345"/>
    <n v="145"/>
    <x v="0"/>
    <n v="500"/>
    <x v="1"/>
    <n v="8.6999999999999993"/>
    <s v="8.0+ s"/>
    <n v="135"/>
    <x v="2"/>
    <s v="CCS"/>
    <n v="1200"/>
    <s v="588"/>
    <n v="5"/>
    <s v="FWD"/>
    <s v="JC - Medium"/>
    <n v="4542"/>
    <n v="1895"/>
    <n v="1641"/>
    <x v="1"/>
    <s v="https://ev-database.org/car/2005/Peugeot-e-3008-97-kWh-Long-Range"/>
  </r>
  <r>
    <x v="41"/>
    <x v="306"/>
    <n v="170"/>
    <x v="0"/>
    <n v="50.8"/>
    <s v="31–60 kWh"/>
    <s v="Lithium-ion"/>
    <n v="102"/>
    <n v="260"/>
    <n v="124"/>
    <x v="1"/>
    <n v="300"/>
    <x v="0"/>
    <n v="9.8000000000000007"/>
    <s v="8.0+ s"/>
    <n v="80"/>
    <x v="0"/>
    <s v="CCS"/>
    <n v="0"/>
    <s v="412"/>
    <n v="5"/>
    <s v="FWD"/>
    <s v="C - Medium"/>
    <n v="4367"/>
    <n v="1852"/>
    <n v="1441"/>
    <x v="0"/>
    <s v="https://ev-database.org/car/1744/Peugeot-e-308"/>
  </r>
  <r>
    <x v="41"/>
    <x v="307"/>
    <n v="150"/>
    <x v="0"/>
    <n v="50.8"/>
    <s v="31–60 kWh"/>
    <s v="Lithium-ion"/>
    <n v="102"/>
    <n v="260"/>
    <n v="127"/>
    <x v="1"/>
    <n v="300"/>
    <x v="0"/>
    <n v="10"/>
    <s v="8.0+ s"/>
    <n v="80"/>
    <x v="0"/>
    <s v="CCS"/>
    <m/>
    <s v="608"/>
    <n v="5"/>
    <s v="FWD"/>
    <s v="C - Medium"/>
    <n v="4636"/>
    <n v="1852"/>
    <n v="1442"/>
    <x v="2"/>
    <s v="https://ev-database.org/car/1745/Peugeot-e-308-SW"/>
  </r>
  <r>
    <x v="41"/>
    <x v="308"/>
    <n v="160"/>
    <x v="0"/>
    <n v="58.3"/>
    <s v="31–60 kWh"/>
    <s v="Lithium-ion"/>
    <m/>
    <n v="345"/>
    <n v="129"/>
    <x v="1"/>
    <n v="375"/>
    <x v="0"/>
    <n v="7.2"/>
    <s v="6.0–7.9 s"/>
    <n v="70"/>
    <x v="0"/>
    <s v="CCS"/>
    <m/>
    <s v="471"/>
    <n v="5"/>
    <s v="FWD"/>
    <s v="JD - Large"/>
    <n v="4687"/>
    <n v="1859"/>
    <n v="1478"/>
    <x v="1"/>
    <s v="https://ev-database.org/car/3066/Peugeot-e-408-58-kWh"/>
  </r>
  <r>
    <x v="41"/>
    <x v="309"/>
    <n v="170"/>
    <x v="0"/>
    <n v="73"/>
    <s v="61+ kWh"/>
    <s v="Lithium-ion"/>
    <n v="96"/>
    <n v="345"/>
    <n v="150"/>
    <x v="0"/>
    <n v="370"/>
    <x v="0"/>
    <n v="9.6999999999999993"/>
    <s v="8.0+ s"/>
    <n v="90"/>
    <x v="0"/>
    <s v="CCS"/>
    <n v="1000"/>
    <s v="348"/>
    <n v="7"/>
    <s v="FWD"/>
    <s v="JD - Large"/>
    <n v="4791"/>
    <n v="1895"/>
    <n v="1694"/>
    <x v="1"/>
    <s v="https://ev-database.org/car/2149/Peugeot-e-5008-73-kWh"/>
  </r>
  <r>
    <x v="41"/>
    <x v="310"/>
    <n v="170"/>
    <x v="0"/>
    <n v="73"/>
    <s v="61+ kWh"/>
    <s v="Lithium-ion"/>
    <n v="96"/>
    <n v="511"/>
    <n v="203"/>
    <x v="2"/>
    <n v="360"/>
    <x v="0"/>
    <n v="7"/>
    <s v="6.0–7.9 s"/>
    <n v="90"/>
    <x v="0"/>
    <s v="CCS"/>
    <m/>
    <s v="348"/>
    <n v="7"/>
    <s v="AWD"/>
    <s v="JD - Large"/>
    <n v="4791"/>
    <n v="1895"/>
    <n v="1694"/>
    <x v="1"/>
    <s v="https://ev-database.org/car/2150/Peugeot-e-5008-73-kWh-Dual-Motor"/>
  </r>
  <r>
    <x v="41"/>
    <x v="311"/>
    <n v="170"/>
    <x v="0"/>
    <n v="96.9"/>
    <s v="61+ kWh"/>
    <s v="Lithium-ion"/>
    <m/>
    <n v="345"/>
    <n v="152"/>
    <x v="0"/>
    <n v="485"/>
    <x v="1"/>
    <n v="9.6"/>
    <s v="8.0+ s"/>
    <n v="135"/>
    <x v="2"/>
    <s v="CCS"/>
    <n v="1000"/>
    <s v="348"/>
    <n v="7"/>
    <s v="FWD"/>
    <s v="JD - Large"/>
    <n v="4791"/>
    <n v="1895"/>
    <n v="1694"/>
    <x v="1"/>
    <s v="https://ev-database.org/car/2151/Peugeot-e-5008-97-kWh-Long-Range"/>
  </r>
  <r>
    <x v="41"/>
    <x v="312"/>
    <n v="132"/>
    <x v="5"/>
    <n v="50"/>
    <s v="31–60 kWh"/>
    <s v="Lithium-ion"/>
    <m/>
    <n v="270"/>
    <n v="152"/>
    <x v="0"/>
    <n v="235"/>
    <x v="0"/>
    <n v="11.7"/>
    <s v="8.0+ s"/>
    <n v="80"/>
    <x v="0"/>
    <s v="CCS"/>
    <n v="750"/>
    <s v="775"/>
    <n v="5"/>
    <s v="FWD"/>
    <s v="N - Passenger Van"/>
    <n v="4403"/>
    <n v="1921"/>
    <n v="1818"/>
    <x v="5"/>
    <s v="https://ev-database.org/car/2163/Peugeot-e-Rifter-M-50-kWh"/>
  </r>
  <r>
    <x v="41"/>
    <x v="313"/>
    <n v="132"/>
    <x v="5"/>
    <n v="50"/>
    <s v="31–60 kWh"/>
    <s v="Lithium-ion"/>
    <m/>
    <n v="270"/>
    <n v="153"/>
    <x v="0"/>
    <n v="230"/>
    <x v="0"/>
    <n v="11.7"/>
    <s v="8.0+ s"/>
    <n v="80"/>
    <x v="0"/>
    <s v="CCS"/>
    <n v="750"/>
    <s v="1050"/>
    <n v="7"/>
    <s v="FWD"/>
    <s v="N - Passenger Van"/>
    <n v="4755"/>
    <n v="1921"/>
    <n v="1837"/>
    <x v="5"/>
    <s v="https://ev-database.org/car/2164/Peugeot-e-Rifter-XL-50-kWh"/>
  </r>
  <r>
    <x v="41"/>
    <x v="314"/>
    <n v="130"/>
    <x v="5"/>
    <n v="46.3"/>
    <s v="31–60 kWh"/>
    <s v="Lithium-ion"/>
    <n v="216"/>
    <n v="270"/>
    <n v="217"/>
    <x v="2"/>
    <n v="180"/>
    <x v="2"/>
    <n v="13.3"/>
    <s v="8.0+ s"/>
    <n v="78"/>
    <x v="0"/>
    <s v="CCS"/>
    <n v="1000"/>
    <s v="603"/>
    <n v="9"/>
    <s v="FWD"/>
    <s v="N - Passenger Van"/>
    <n v="4983"/>
    <n v="1920"/>
    <n v="1890"/>
    <x v="5"/>
    <s v="https://ev-database.org/car/2256/Peugeot-e-Traveller-L2-50-kWh"/>
  </r>
  <r>
    <x v="41"/>
    <x v="315"/>
    <n v="130"/>
    <x v="5"/>
    <n v="68"/>
    <s v="61+ kWh"/>
    <s v="Lithium-ion"/>
    <n v="324"/>
    <n v="270"/>
    <n v="202"/>
    <x v="2"/>
    <n v="260"/>
    <x v="0"/>
    <n v="14.2"/>
    <s v="8.0+ s"/>
    <n v="79"/>
    <x v="0"/>
    <s v="CCS"/>
    <n v="1000"/>
    <s v="603"/>
    <n v="9"/>
    <s v="FWD"/>
    <s v="N - Passenger Van"/>
    <n v="4983"/>
    <n v="1920"/>
    <n v="1890"/>
    <x v="5"/>
    <s v="https://ev-database.org/car/2258/Peugeot-e-Traveller-L2-75-kWh"/>
  </r>
  <r>
    <x v="41"/>
    <x v="316"/>
    <n v="130"/>
    <x v="5"/>
    <n v="46.3"/>
    <s v="31–60 kWh"/>
    <s v="Lithium-ion"/>
    <n v="216"/>
    <n v="270"/>
    <n v="219"/>
    <x v="2"/>
    <n v="180"/>
    <x v="2"/>
    <n v="13.3"/>
    <s v="8.0+ s"/>
    <n v="78"/>
    <x v="0"/>
    <s v="CCS"/>
    <n v="1000"/>
    <s v="989"/>
    <n v="9"/>
    <s v="FWD"/>
    <s v="N - Passenger Van"/>
    <n v="5333"/>
    <n v="1920"/>
    <n v="1890"/>
    <x v="5"/>
    <s v="https://ev-database.org/car/2257/Peugeot-e-Traveller-L3-50-kWh"/>
  </r>
  <r>
    <x v="41"/>
    <x v="317"/>
    <n v="130"/>
    <x v="5"/>
    <n v="68"/>
    <s v="61+ kWh"/>
    <s v="Lithium-ion"/>
    <n v="324"/>
    <n v="270"/>
    <n v="204"/>
    <x v="2"/>
    <n v="260"/>
    <x v="0"/>
    <n v="14.2"/>
    <s v="8.0+ s"/>
    <n v="79"/>
    <x v="0"/>
    <s v="CCS"/>
    <n v="1000"/>
    <s v="989"/>
    <n v="9"/>
    <s v="FWD"/>
    <s v="N - Passenger Van"/>
    <n v="5333"/>
    <n v="1920"/>
    <n v="1890"/>
    <x v="5"/>
    <s v="https://ev-database.org/car/2259/Peugeot-e-Traveller-L3-75-kWh"/>
  </r>
  <r>
    <x v="42"/>
    <x v="318"/>
    <n v="205"/>
    <x v="1"/>
    <n v="79"/>
    <s v="61+ kWh"/>
    <s v="Lithium-ion"/>
    <n v="324"/>
    <n v="740"/>
    <n v="142"/>
    <x v="0"/>
    <n v="455"/>
    <x v="1"/>
    <n v="4.5"/>
    <s v="4.0–5.9 s"/>
    <n v="125"/>
    <x v="2"/>
    <s v="CCS"/>
    <n v="1500"/>
    <s v="407"/>
    <n v="5"/>
    <s v="AWD"/>
    <s v="D - Large"/>
    <n v="4606"/>
    <n v="1859"/>
    <n v="1479"/>
    <x v="3"/>
    <s v="https://ev-database.org/car/3152/Polestar-2-Long-Range-Dual-Motor"/>
  </r>
  <r>
    <x v="42"/>
    <x v="319"/>
    <n v="205"/>
    <x v="1"/>
    <n v="79"/>
    <s v="61+ kWh"/>
    <s v="Lithium-ion"/>
    <n v="324"/>
    <n v="740"/>
    <n v="142"/>
    <x v="0"/>
    <n v="450"/>
    <x v="1"/>
    <n v="4.2"/>
    <s v="4.0–5.9 s"/>
    <n v="125"/>
    <x v="2"/>
    <s v="CCS"/>
    <n v="1500"/>
    <s v="407"/>
    <n v="5"/>
    <s v="AWD"/>
    <s v="D - Large"/>
    <n v="4606"/>
    <n v="1859"/>
    <n v="1473"/>
    <x v="3"/>
    <s v="https://ev-database.org/car/3153/Polestar-2-Long-Range-Performance"/>
  </r>
  <r>
    <x v="42"/>
    <x v="320"/>
    <n v="205"/>
    <x v="1"/>
    <n v="79"/>
    <s v="61+ kWh"/>
    <s v="Lithium-ion"/>
    <n v="324"/>
    <n v="490"/>
    <n v="130"/>
    <x v="1"/>
    <n v="475"/>
    <x v="1"/>
    <n v="6.2"/>
    <s v="6.0–7.9 s"/>
    <n v="125"/>
    <x v="2"/>
    <s v="CCS"/>
    <n v="1500"/>
    <s v="407"/>
    <n v="5"/>
    <s v="RWD"/>
    <s v="D - Large"/>
    <n v="4606"/>
    <n v="1859"/>
    <n v="1479"/>
    <x v="3"/>
    <s v="https://ev-database.org/car/3151/Polestar-2-Long-Range-Single-Motor"/>
  </r>
  <r>
    <x v="42"/>
    <x v="321"/>
    <n v="205"/>
    <x v="1"/>
    <n v="67"/>
    <s v="61+ kWh"/>
    <s v="Lithium-ion"/>
    <m/>
    <n v="490"/>
    <n v="129"/>
    <x v="1"/>
    <n v="405"/>
    <x v="1"/>
    <n v="6.4"/>
    <s v="6.0–7.9 s"/>
    <n v="110"/>
    <x v="2"/>
    <s v="CCS"/>
    <n v="1500"/>
    <s v="407"/>
    <n v="5"/>
    <s v="RWD"/>
    <s v="D - Large"/>
    <n v="4606"/>
    <n v="1859"/>
    <n v="1479"/>
    <x v="3"/>
    <s v="https://ev-database.org/car/3150/Polestar-2-Standard-Range-Single-Motor"/>
  </r>
  <r>
    <x v="42"/>
    <x v="322"/>
    <n v="210"/>
    <x v="1"/>
    <n v="107"/>
    <s v="61+ kWh"/>
    <s v="Lithium-ion"/>
    <n v="204"/>
    <n v="840"/>
    <n v="183"/>
    <x v="2"/>
    <n v="515"/>
    <x v="1"/>
    <n v="5"/>
    <s v="4.0–5.9 s"/>
    <n v="150"/>
    <x v="1"/>
    <s v="CCS"/>
    <n v="2200"/>
    <s v="484"/>
    <n v="5"/>
    <s v="AWD"/>
    <s v="JE - Executive"/>
    <n v="4900"/>
    <n v="1968"/>
    <n v="1614"/>
    <x v="1"/>
    <s v="https://ev-database.org/car/1758/Polestar-3-Long-Range-Dual-motor"/>
  </r>
  <r>
    <x v="42"/>
    <x v="323"/>
    <n v="210"/>
    <x v="1"/>
    <n v="107"/>
    <s v="61+ kWh"/>
    <s v="Lithium-ion"/>
    <n v="204"/>
    <n v="910"/>
    <n v="194"/>
    <x v="2"/>
    <n v="495"/>
    <x v="1"/>
    <n v="4.7"/>
    <s v="4.0–5.9 s"/>
    <n v="150"/>
    <x v="1"/>
    <s v="CCS"/>
    <n v="2200"/>
    <s v="484"/>
    <n v="5"/>
    <s v="AWD"/>
    <s v="JE - Executive"/>
    <n v="4900"/>
    <n v="1968"/>
    <n v="1614"/>
    <x v="1"/>
    <s v="https://ev-database.org/car/1759/Polestar-3-Long-Range-Performance"/>
  </r>
  <r>
    <x v="42"/>
    <x v="324"/>
    <n v="180"/>
    <x v="2"/>
    <n v="107"/>
    <s v="61+ kWh"/>
    <s v="Lithium-ion"/>
    <n v="204"/>
    <n v="490"/>
    <n v="166"/>
    <x v="2"/>
    <n v="530"/>
    <x v="1"/>
    <n v="7.8"/>
    <s v="6.0–7.9 s"/>
    <n v="150"/>
    <x v="1"/>
    <s v="CCS"/>
    <n v="1500"/>
    <s v="484"/>
    <n v="5"/>
    <s v="RWD"/>
    <s v="JE - Executive"/>
    <n v="4900"/>
    <n v="1968"/>
    <n v="1614"/>
    <x v="1"/>
    <s v="https://ev-database.org/car/2229/Polestar-3-Long-Range-Single-motor"/>
  </r>
  <r>
    <x v="42"/>
    <x v="325"/>
    <n v="200"/>
    <x v="1"/>
    <n v="94"/>
    <s v="61+ kWh"/>
    <s v="Lithium-ion"/>
    <n v="110"/>
    <n v="686"/>
    <n v="165"/>
    <x v="2"/>
    <n v="485"/>
    <x v="1"/>
    <n v="3.8"/>
    <s v="0–3.9 s"/>
    <n v="135"/>
    <x v="2"/>
    <s v="CCS"/>
    <n v="2000"/>
    <s v="526"/>
    <n v="5"/>
    <s v="AWD"/>
    <s v="E - Executive"/>
    <n v="4839"/>
    <n v="2008"/>
    <n v="1544"/>
    <x v="3"/>
    <s v="https://ev-database.org/car/1842/Polestar-4-Long-Range-Dual-Motor"/>
  </r>
  <r>
    <x v="42"/>
    <x v="326"/>
    <n v="180"/>
    <x v="2"/>
    <n v="94"/>
    <s v="61+ kWh"/>
    <s v="Lithium-ion"/>
    <n v="110"/>
    <n v="343"/>
    <n v="157"/>
    <x v="0"/>
    <n v="495"/>
    <x v="1"/>
    <n v="7.4"/>
    <s v="6.0–7.9 s"/>
    <n v="135"/>
    <x v="2"/>
    <s v="CCS"/>
    <n v="1500"/>
    <s v="526"/>
    <n v="5"/>
    <s v="RWD"/>
    <s v="E - Executive"/>
    <n v="4839"/>
    <n v="2008"/>
    <n v="1544"/>
    <x v="3"/>
    <s v="https://ev-database.org/car/1841/Polestar-4-Long-Range-Single-Motor"/>
  </r>
  <r>
    <x v="43"/>
    <x v="327"/>
    <n v="220"/>
    <x v="1"/>
    <n v="95"/>
    <s v="61+ kWh"/>
    <s v="Lithium-ion"/>
    <n v="180"/>
    <n v="650"/>
    <n v="184"/>
    <x v="2"/>
    <n v="470"/>
    <x v="1"/>
    <n v="5.2"/>
    <s v="4.0–5.9 s"/>
    <n v="200"/>
    <x v="1"/>
    <s v="CCS"/>
    <n v="2000"/>
    <s v="540"/>
    <n v="5"/>
    <s v="AWD"/>
    <s v="JD - Large"/>
    <n v="4784"/>
    <n v="1938"/>
    <n v="1622"/>
    <x v="1"/>
    <s v="https://ev-database.org/car/2084/Porsche-Macan-4-Electric"/>
  </r>
  <r>
    <x v="43"/>
    <x v="328"/>
    <n v="240"/>
    <x v="3"/>
    <n v="95"/>
    <s v="61+ kWh"/>
    <s v="Lithium-ion"/>
    <n v="180"/>
    <n v="820"/>
    <n v="186"/>
    <x v="2"/>
    <n v="470"/>
    <x v="1"/>
    <n v="4.0999999999999996"/>
    <s v="4.0–5.9 s"/>
    <n v="200"/>
    <x v="1"/>
    <s v="CCS"/>
    <n v="2000"/>
    <s v="540"/>
    <n v="5"/>
    <s v="AWD"/>
    <s v="JD - Large"/>
    <n v="4784"/>
    <n v="1938"/>
    <n v="1622"/>
    <x v="1"/>
    <s v="https://ev-database.org/car/2244/Porsche-Macan-4S-Electric"/>
  </r>
  <r>
    <x v="43"/>
    <x v="329"/>
    <n v="220"/>
    <x v="1"/>
    <n v="95"/>
    <s v="61+ kWh"/>
    <s v="Lithium-ion"/>
    <n v="180"/>
    <n v="563"/>
    <n v="177"/>
    <x v="2"/>
    <n v="495"/>
    <x v="1"/>
    <n v="5.7"/>
    <s v="4.0–5.9 s"/>
    <n v="200"/>
    <x v="1"/>
    <s v="CCS"/>
    <n v="2000"/>
    <s v="540"/>
    <n v="5"/>
    <s v="RWD"/>
    <s v="JD - Large"/>
    <n v="4784"/>
    <n v="1938"/>
    <n v="1623"/>
    <x v="1"/>
    <s v="https://ev-database.org/car/2083/Porsche-Macan-Electric"/>
  </r>
  <r>
    <x v="43"/>
    <x v="330"/>
    <n v="260"/>
    <x v="4"/>
    <n v="95"/>
    <s v="61+ kWh"/>
    <s v="Lithium-ion"/>
    <n v="180"/>
    <n v="1001"/>
    <n v="183"/>
    <x v="2"/>
    <n v="460"/>
    <x v="1"/>
    <n v="3.3"/>
    <s v="0–3.9 s"/>
    <n v="200"/>
    <x v="1"/>
    <s v="CCS"/>
    <n v="2000"/>
    <s v="480"/>
    <n v="5"/>
    <s v="AWD"/>
    <s v="JD - Large"/>
    <n v="4784"/>
    <n v="1938"/>
    <n v="1621"/>
    <x v="1"/>
    <s v="https://ev-database.org/car/2085/Porsche-Macan-Turbo-Electric"/>
  </r>
  <r>
    <x v="43"/>
    <x v="331"/>
    <n v="230"/>
    <x v="3"/>
    <n v="82.3"/>
    <s v="61+ kWh"/>
    <s v="Lithium-ion"/>
    <m/>
    <n v="410"/>
    <n v="164"/>
    <x v="2"/>
    <n v="495"/>
    <x v="1"/>
    <n v="4.8"/>
    <s v="4.0–5.9 s"/>
    <n v="195"/>
    <x v="1"/>
    <s v="CCS"/>
    <n v="0"/>
    <s v="407"/>
    <n v="5"/>
    <s v="RWD"/>
    <s v="F - Luxury"/>
    <n v="4963"/>
    <n v="1966"/>
    <n v="1379"/>
    <x v="4"/>
    <s v="https://ev-database.org/car/2098/Porsche-Taycan"/>
  </r>
  <r>
    <x v="43"/>
    <x v="332"/>
    <n v="230"/>
    <x v="3"/>
    <n v="82.3"/>
    <s v="61+ kWh"/>
    <s v="Lithium-ion"/>
    <m/>
    <n v="585"/>
    <n v="172"/>
    <x v="2"/>
    <n v="490"/>
    <x v="1"/>
    <n v="4.5999999999999996"/>
    <s v="4.0–5.9 s"/>
    <n v="195"/>
    <x v="1"/>
    <s v="CCS"/>
    <n v="0"/>
    <s v="407"/>
    <n v="5"/>
    <s v="AWD"/>
    <s v="F - Luxury"/>
    <n v="4963"/>
    <n v="1966"/>
    <n v="1379"/>
    <x v="4"/>
    <s v="https://ev-database.org/car/3060/Porsche-Taycan-4"/>
  </r>
  <r>
    <x v="43"/>
    <x v="333"/>
    <n v="220"/>
    <x v="1"/>
    <n v="97"/>
    <s v="61+ kWh"/>
    <s v="Lithium-ion"/>
    <n v="396"/>
    <n v="610"/>
    <n v="188"/>
    <x v="2"/>
    <n v="510"/>
    <x v="1"/>
    <n v="4.7"/>
    <s v="4.0–5.9 s"/>
    <n v="281"/>
    <x v="1"/>
    <s v="CCS"/>
    <n v="0"/>
    <s v="446"/>
    <n v="5"/>
    <s v="AWD"/>
    <s v="F - Luxury"/>
    <n v="4974"/>
    <n v="1967"/>
    <n v="1409"/>
    <x v="2"/>
    <s v="https://ev-database.org/car/2110/Porsche-Taycan-4-Cross-Turismo"/>
  </r>
  <r>
    <x v="43"/>
    <x v="334"/>
    <n v="230"/>
    <x v="3"/>
    <n v="97"/>
    <s v="61+ kWh"/>
    <s v="Lithium-ion"/>
    <n v="396"/>
    <n v="610"/>
    <n v="175"/>
    <x v="2"/>
    <n v="565"/>
    <x v="1"/>
    <n v="4.5999999999999996"/>
    <s v="4.0–5.9 s"/>
    <n v="281"/>
    <x v="1"/>
    <s v="CCS"/>
    <n v="0"/>
    <s v="407"/>
    <n v="5"/>
    <s v="AWD"/>
    <s v="F - Luxury"/>
    <n v="4963"/>
    <n v="1966"/>
    <n v="1379"/>
    <x v="4"/>
    <s v="https://ev-database.org/car/3061/Porsche-Taycan-4-Plus"/>
  </r>
  <r>
    <x v="43"/>
    <x v="335"/>
    <n v="250"/>
    <x v="4"/>
    <n v="82.3"/>
    <s v="61+ kWh"/>
    <s v="Lithium-ion"/>
    <m/>
    <n v="695"/>
    <n v="174"/>
    <x v="2"/>
    <n v="490"/>
    <x v="1"/>
    <n v="3.7"/>
    <s v="0–3.9 s"/>
    <n v="195"/>
    <x v="1"/>
    <s v="CCS"/>
    <n v="0"/>
    <s v="407"/>
    <n v="5"/>
    <s v="AWD"/>
    <s v="F - Luxury"/>
    <n v="4963"/>
    <n v="1966"/>
    <n v="1379"/>
    <x v="4"/>
    <s v="https://ev-database.org/car/2100/Porsche-Taycan-4S"/>
  </r>
  <r>
    <x v="43"/>
    <x v="336"/>
    <n v="240"/>
    <x v="3"/>
    <n v="97"/>
    <s v="61+ kWh"/>
    <s v="Lithium-ion"/>
    <n v="396"/>
    <n v="710"/>
    <n v="188"/>
    <x v="2"/>
    <n v="510"/>
    <x v="1"/>
    <n v="3.8"/>
    <s v="0–3.9 s"/>
    <n v="281"/>
    <x v="1"/>
    <s v="CCS"/>
    <n v="0"/>
    <s v="446"/>
    <n v="5"/>
    <s v="AWD"/>
    <s v="F - Luxury"/>
    <n v="4974"/>
    <n v="1967"/>
    <n v="1409"/>
    <x v="2"/>
    <s v="https://ev-database.org/car/2111/Porsche-Taycan-4S-Cross-Turismo"/>
  </r>
  <r>
    <x v="43"/>
    <x v="337"/>
    <n v="250"/>
    <x v="4"/>
    <n v="97"/>
    <s v="61+ kWh"/>
    <s v="Lithium-ion"/>
    <n v="396"/>
    <n v="710"/>
    <n v="177"/>
    <x v="2"/>
    <n v="565"/>
    <x v="1"/>
    <n v="3.7"/>
    <s v="0–3.9 s"/>
    <n v="281"/>
    <x v="1"/>
    <s v="CCS"/>
    <n v="0"/>
    <s v="407"/>
    <n v="5"/>
    <s v="AWD"/>
    <s v="F - Luxury"/>
    <n v="4963"/>
    <n v="1966"/>
    <n v="1379"/>
    <x v="4"/>
    <s v="https://ev-database.org/car/2101/Porsche-Taycan-4S-Plus"/>
  </r>
  <r>
    <x v="43"/>
    <x v="338"/>
    <n v="250"/>
    <x v="4"/>
    <n v="97"/>
    <s v="61+ kWh"/>
    <s v="Lithium-ion"/>
    <n v="396"/>
    <n v="710"/>
    <n v="186"/>
    <x v="2"/>
    <n v="510"/>
    <x v="1"/>
    <n v="3.7"/>
    <s v="0–3.9 s"/>
    <n v="281"/>
    <x v="1"/>
    <s v="CCS"/>
    <n v="0"/>
    <s v="446"/>
    <n v="5"/>
    <s v="AWD"/>
    <s v="F - Luxury"/>
    <n v="4963"/>
    <n v="1966"/>
    <n v="1390"/>
    <x v="2"/>
    <s v="https://ev-database.org/car/2107/Porsche-Taycan-4S-Plus-Sport-Turismo"/>
  </r>
  <r>
    <x v="43"/>
    <x v="339"/>
    <n v="250"/>
    <x v="4"/>
    <n v="82.3"/>
    <s v="61+ kWh"/>
    <s v="Lithium-ion"/>
    <m/>
    <n v="695"/>
    <n v="183"/>
    <x v="2"/>
    <n v="440"/>
    <x v="1"/>
    <n v="3.7"/>
    <s v="0–3.9 s"/>
    <n v="195"/>
    <x v="1"/>
    <s v="CCS"/>
    <n v="0"/>
    <s v="446"/>
    <n v="5"/>
    <s v="AWD"/>
    <s v="F - Luxury"/>
    <n v="4963"/>
    <n v="1966"/>
    <n v="1390"/>
    <x v="2"/>
    <s v="https://ev-database.org/car/2106/Porsche-Taycan-4S-Sport-Turismo"/>
  </r>
  <r>
    <x v="43"/>
    <x v="340"/>
    <n v="250"/>
    <x v="4"/>
    <n v="97"/>
    <s v="61+ kWh"/>
    <s v="Lithium-ion"/>
    <n v="396"/>
    <n v="790"/>
    <n v="176"/>
    <x v="2"/>
    <n v="535"/>
    <x v="1"/>
    <n v="3.3"/>
    <s v="0–3.9 s"/>
    <n v="281"/>
    <x v="1"/>
    <s v="CCS"/>
    <n v="0"/>
    <s v="366"/>
    <n v="5"/>
    <s v="AWD"/>
    <s v="F - Luxury"/>
    <n v="4963"/>
    <n v="1966"/>
    <n v="1381"/>
    <x v="4"/>
    <s v="https://ev-database.org/car/3062/Porsche-Taycan-GTS"/>
  </r>
  <r>
    <x v="43"/>
    <x v="341"/>
    <n v="250"/>
    <x v="4"/>
    <n v="97"/>
    <s v="61+ kWh"/>
    <s v="Lithium-ion"/>
    <n v="396"/>
    <n v="790"/>
    <n v="185"/>
    <x v="2"/>
    <n v="505"/>
    <x v="1"/>
    <n v="3.3"/>
    <s v="0–3.9 s"/>
    <n v="281"/>
    <x v="1"/>
    <s v="CCS"/>
    <n v="0"/>
    <s v="405"/>
    <n v="5"/>
    <s v="AWD"/>
    <s v="F - Luxury"/>
    <n v="4963"/>
    <n v="1966"/>
    <n v="1392"/>
    <x v="2"/>
    <s v="https://ev-database.org/car/3063/Porsche-Taycan-GTS-Sport-Turismo"/>
  </r>
  <r>
    <x v="43"/>
    <x v="342"/>
    <n v="230"/>
    <x v="3"/>
    <n v="97"/>
    <s v="61+ kWh"/>
    <s v="Lithium-ion"/>
    <n v="396"/>
    <n v="420"/>
    <n v="168"/>
    <x v="2"/>
    <n v="575"/>
    <x v="1"/>
    <n v="4.8"/>
    <s v="4.0–5.9 s"/>
    <n v="281"/>
    <x v="1"/>
    <s v="CCS"/>
    <n v="0"/>
    <s v="407"/>
    <n v="5"/>
    <s v="RWD"/>
    <s v="F - Luxury"/>
    <n v="4963"/>
    <n v="1966"/>
    <n v="1379"/>
    <x v="4"/>
    <s v="https://ev-database.org/car/2099/Porsche-Taycan-Plus"/>
  </r>
  <r>
    <x v="43"/>
    <x v="343"/>
    <n v="230"/>
    <x v="3"/>
    <n v="97"/>
    <s v="61+ kWh"/>
    <s v="Lithium-ion"/>
    <n v="396"/>
    <n v="420"/>
    <n v="176"/>
    <x v="2"/>
    <n v="530"/>
    <x v="1"/>
    <n v="4.8"/>
    <s v="4.0–5.9 s"/>
    <n v="281"/>
    <x v="1"/>
    <s v="CCS"/>
    <n v="0"/>
    <s v="446"/>
    <n v="5"/>
    <s v="RWD"/>
    <s v="F - Luxury"/>
    <n v="4963"/>
    <n v="1966"/>
    <n v="1390"/>
    <x v="2"/>
    <s v="https://ev-database.org/car/2105/Porsche-Taycan-Plus-Sport-Turismo"/>
  </r>
  <r>
    <x v="43"/>
    <x v="344"/>
    <n v="230"/>
    <x v="3"/>
    <n v="82.3"/>
    <s v="61+ kWh"/>
    <s v="Lithium-ion"/>
    <m/>
    <n v="410"/>
    <n v="173"/>
    <x v="2"/>
    <n v="460"/>
    <x v="1"/>
    <n v="4.8"/>
    <s v="4.0–5.9 s"/>
    <n v="195"/>
    <x v="1"/>
    <s v="CCS"/>
    <n v="0"/>
    <s v="446"/>
    <n v="5"/>
    <s v="RWD"/>
    <s v="F - Luxury"/>
    <n v="4963"/>
    <n v="1966"/>
    <n v="1390"/>
    <x v="2"/>
    <s v="https://ev-database.org/car/2104/Porsche-Taycan-Sport-Turismo"/>
  </r>
  <r>
    <x v="43"/>
    <x v="345"/>
    <n v="260"/>
    <x v="4"/>
    <n v="97"/>
    <s v="61+ kWh"/>
    <s v="Lithium-ion"/>
    <n v="396"/>
    <n v="940"/>
    <n v="174"/>
    <x v="2"/>
    <n v="535"/>
    <x v="1"/>
    <n v="2.7"/>
    <s v="0–3.9 s"/>
    <n v="281"/>
    <x v="1"/>
    <s v="CCS"/>
    <n v="0"/>
    <s v="366"/>
    <n v="5"/>
    <s v="AWD"/>
    <s v="F - Luxury"/>
    <n v="4963"/>
    <n v="1966"/>
    <n v="1379"/>
    <x v="4"/>
    <s v="https://ev-database.org/car/2102/Porsche-Taycan-Turbo"/>
  </r>
  <r>
    <x v="43"/>
    <x v="346"/>
    <n v="250"/>
    <x v="4"/>
    <n v="97"/>
    <s v="61+ kWh"/>
    <s v="Lithium-ion"/>
    <n v="396"/>
    <n v="940"/>
    <n v="188"/>
    <x v="2"/>
    <n v="495"/>
    <x v="1"/>
    <n v="2.8"/>
    <s v="0–3.9 s"/>
    <n v="281"/>
    <x v="1"/>
    <s v="CCS"/>
    <n v="0"/>
    <s v="405"/>
    <n v="5"/>
    <s v="AWD"/>
    <s v="F - Luxury"/>
    <n v="4974"/>
    <n v="1967"/>
    <n v="1412"/>
    <x v="2"/>
    <s v="https://ev-database.org/car/2112/Porsche-Taycan-Turbo-Cross-Turismo"/>
  </r>
  <r>
    <x v="43"/>
    <x v="347"/>
    <n v="290"/>
    <x v="6"/>
    <n v="97"/>
    <s v="61+ kWh"/>
    <s v="Lithium-ion"/>
    <n v="396"/>
    <n v="1340"/>
    <n v="184"/>
    <x v="2"/>
    <n v="475"/>
    <x v="1"/>
    <n v="2.2999999999999998"/>
    <s v="0–3.9 s"/>
    <n v="281"/>
    <x v="1"/>
    <s v="CCS"/>
    <n v="0"/>
    <s v="326"/>
    <n v="5"/>
    <s v="AWD"/>
    <s v="F - Luxury"/>
    <n v="4968"/>
    <n v="1966"/>
    <n v="1378"/>
    <x v="4"/>
    <s v="https://ev-database.org/car/2144/Porsche-Taycan-Turbo-GT"/>
  </r>
  <r>
    <x v="43"/>
    <x v="348"/>
    <n v="305"/>
    <x v="7"/>
    <n v="97"/>
    <s v="61+ kWh"/>
    <s v="Lithium-ion"/>
    <n v="396"/>
    <n v="1340"/>
    <n v="180"/>
    <x v="2"/>
    <n v="475"/>
    <x v="1"/>
    <n v="2.2000000000000002"/>
    <s v="0–3.9 s"/>
    <n v="281"/>
    <x v="1"/>
    <s v="CCS"/>
    <n v="0"/>
    <s v="367"/>
    <n v="2"/>
    <s v="AWD"/>
    <s v="F - Luxury"/>
    <n v="4968"/>
    <n v="1966"/>
    <n v="1378"/>
    <x v="4"/>
    <s v="https://ev-database.org/car/2145/Porsche-Taycan-Turbo-GT-Weissach"/>
  </r>
  <r>
    <x v="43"/>
    <x v="349"/>
    <n v="260"/>
    <x v="4"/>
    <n v="97"/>
    <s v="61+ kWh"/>
    <s v="Lithium-ion"/>
    <n v="396"/>
    <n v="1110"/>
    <n v="174"/>
    <x v="2"/>
    <n v="525"/>
    <x v="1"/>
    <n v="2.4"/>
    <s v="0–3.9 s"/>
    <n v="281"/>
    <x v="1"/>
    <s v="CCS"/>
    <n v="0"/>
    <s v="366"/>
    <n v="5"/>
    <s v="AWD"/>
    <s v="F - Luxury"/>
    <n v="4963"/>
    <n v="1966"/>
    <n v="1378"/>
    <x v="4"/>
    <s v="https://ev-database.org/car/2103/Porsche-Taycan-Turbo-S"/>
  </r>
  <r>
    <x v="43"/>
    <x v="350"/>
    <n v="250"/>
    <x v="4"/>
    <n v="97"/>
    <s v="61+ kWh"/>
    <s v="Lithium-ion"/>
    <n v="396"/>
    <n v="1110"/>
    <n v="188"/>
    <x v="2"/>
    <n v="485"/>
    <x v="1"/>
    <n v="2.5"/>
    <s v="0–3.9 s"/>
    <n v="281"/>
    <x v="1"/>
    <s v="CCS"/>
    <n v="0"/>
    <s v="405"/>
    <n v="5"/>
    <s v="AWD"/>
    <s v="F - Luxury"/>
    <n v="4974"/>
    <n v="1967"/>
    <n v="1407"/>
    <x v="2"/>
    <s v="https://ev-database.org/car/2113/Porsche-Taycan-Turbo-S-Cross-Turismo"/>
  </r>
  <r>
    <x v="43"/>
    <x v="351"/>
    <n v="260"/>
    <x v="4"/>
    <n v="97"/>
    <s v="61+ kWh"/>
    <s v="Lithium-ion"/>
    <n v="396"/>
    <n v="1110"/>
    <n v="183"/>
    <x v="2"/>
    <n v="505"/>
    <x v="1"/>
    <n v="2.4"/>
    <s v="0–3.9 s"/>
    <n v="281"/>
    <x v="1"/>
    <s v="CCS"/>
    <n v="0"/>
    <s v="405"/>
    <n v="5"/>
    <s v="AWD"/>
    <s v="F - Luxury"/>
    <n v="4963"/>
    <n v="1966"/>
    <n v="1388"/>
    <x v="2"/>
    <s v="https://ev-database.org/car/2109/Porsche-Taycan-Turbo-S-Sport-Turismo"/>
  </r>
  <r>
    <x v="43"/>
    <x v="352"/>
    <n v="260"/>
    <x v="4"/>
    <n v="97"/>
    <s v="61+ kWh"/>
    <s v="Lithium-ion"/>
    <n v="396"/>
    <n v="940"/>
    <n v="184"/>
    <x v="2"/>
    <n v="505"/>
    <x v="1"/>
    <n v="2.7"/>
    <s v="0–3.9 s"/>
    <n v="281"/>
    <x v="1"/>
    <s v="CCS"/>
    <n v="0"/>
    <s v="405"/>
    <n v="5"/>
    <s v="AWD"/>
    <s v="F - Luxury"/>
    <n v="4963"/>
    <n v="1966"/>
    <n v="1392"/>
    <x v="2"/>
    <s v="https://ev-database.org/car/2108/Porsche-Taycan-Turbo-Sport-Turismo"/>
  </r>
  <r>
    <x v="44"/>
    <x v="353"/>
    <n v="150"/>
    <x v="0"/>
    <n v="40"/>
    <s v="31–60 kWh"/>
    <s v="Lithium-ion"/>
    <n v="93"/>
    <n v="225"/>
    <n v="124"/>
    <x v="1"/>
    <n v="245"/>
    <x v="0"/>
    <n v="9.1999999999999993"/>
    <s v="8.0+ s"/>
    <n v="55"/>
    <x v="0"/>
    <s v="CCS"/>
    <n v="750"/>
    <s v="420"/>
    <n v="5"/>
    <s v="FWD"/>
    <s v="JB - Compact"/>
    <n v="4143"/>
    <n v="1796"/>
    <n v="1552"/>
    <x v="1"/>
    <s v="https://ev-database.org/car/3126/Renault-4-E-Tech-40kWh-120hp"/>
  </r>
  <r>
    <x v="44"/>
    <x v="354"/>
    <n v="150"/>
    <x v="0"/>
    <n v="52"/>
    <s v="31–60 kWh"/>
    <s v="Lithium-ion"/>
    <n v="184"/>
    <n v="245"/>
    <n v="127"/>
    <x v="1"/>
    <n v="315"/>
    <x v="0"/>
    <n v="8.1999999999999993"/>
    <s v="8.0+ s"/>
    <n v="70"/>
    <x v="0"/>
    <s v="CCS"/>
    <n v="750"/>
    <s v="420"/>
    <n v="5"/>
    <s v="FWD"/>
    <s v="JB - Compact"/>
    <n v="4143"/>
    <n v="1796"/>
    <n v="1552"/>
    <x v="1"/>
    <s v="https://ev-database.org/car/3127/Renault-4-E-Tech-52kWh-150hp"/>
  </r>
  <r>
    <x v="44"/>
    <x v="355"/>
    <n v="150"/>
    <x v="0"/>
    <n v="40"/>
    <s v="31–60 kWh"/>
    <s v="Lithium-ion"/>
    <n v="93"/>
    <n v="225"/>
    <n v="132"/>
    <x v="0"/>
    <n v="250"/>
    <x v="0"/>
    <n v="9"/>
    <s v="8.0+ s"/>
    <n v="55"/>
    <x v="0"/>
    <s v="CCS"/>
    <n v="500"/>
    <s v="326"/>
    <n v="5"/>
    <s v="FWD"/>
    <s v="B - Compact"/>
    <n v="3922"/>
    <n v="1808"/>
    <n v="1489"/>
    <x v="0"/>
    <s v="https://ev-database.org/car/2134/Renault-5-E-Tech-40kWh-120hp"/>
  </r>
  <r>
    <x v="44"/>
    <x v="356"/>
    <n v="130"/>
    <x v="5"/>
    <n v="40"/>
    <s v="31–60 kWh"/>
    <s v="Lithium-ion"/>
    <n v="93"/>
    <n v="215"/>
    <n v="129"/>
    <x v="1"/>
    <n v="255"/>
    <x v="0"/>
    <n v="12"/>
    <s v="8.0+ s"/>
    <m/>
    <x v="3"/>
    <s v=""/>
    <n v="500"/>
    <s v="326"/>
    <n v="5"/>
    <s v="FWD"/>
    <s v="B - Compact"/>
    <n v="3922"/>
    <n v="1808"/>
    <n v="1489"/>
    <x v="0"/>
    <s v="https://ev-database.org/car/2133/Renault-5-E-Tech-40kWh-95hp"/>
  </r>
  <r>
    <x v="44"/>
    <x v="357"/>
    <n v="150"/>
    <x v="0"/>
    <n v="52"/>
    <s v="31–60 kWh"/>
    <s v="Lithium-ion"/>
    <n v="184"/>
    <n v="245"/>
    <n v="129"/>
    <x v="1"/>
    <n v="320"/>
    <x v="0"/>
    <n v="8"/>
    <s v="8.0+ s"/>
    <n v="70"/>
    <x v="0"/>
    <s v="CCS"/>
    <n v="500"/>
    <s v="326"/>
    <n v="5"/>
    <s v="FWD"/>
    <s v="B - Compact"/>
    <n v="3922"/>
    <n v="1808"/>
    <n v="1489"/>
    <x v="0"/>
    <s v="https://ev-database.org/car/2135/Renault-5-E-Tech-52kWh-150hp"/>
  </r>
  <r>
    <x v="44"/>
    <x v="358"/>
    <n v="135"/>
    <x v="5"/>
    <n v="45"/>
    <s v="31–60 kWh"/>
    <s v="Lithium-ion"/>
    <m/>
    <n v="245"/>
    <n v="158"/>
    <x v="0"/>
    <n v="225"/>
    <x v="0"/>
    <n v="12.6"/>
    <s v="8.0+ s"/>
    <n v="50"/>
    <x v="0"/>
    <s v="CCS"/>
    <n v="1500"/>
    <s v="950"/>
    <n v="5"/>
    <s v="FWD"/>
    <s v="N - Passenger Van"/>
    <n v="4486"/>
    <n v="1860"/>
    <n v="1838"/>
    <x v="5"/>
    <s v="https://ev-database.org/car/1802/Renault-Kangoo-E-Tech-Electric"/>
  </r>
  <r>
    <x v="44"/>
    <x v="359"/>
    <n v="130"/>
    <x v="5"/>
    <n v="45"/>
    <s v="31–60 kWh"/>
    <s v="Lithium-ion"/>
    <m/>
    <n v="245"/>
    <n v="170"/>
    <x v="2"/>
    <n v="220"/>
    <x v="0"/>
    <n v="13.3"/>
    <s v="8.0+ s"/>
    <n v="50"/>
    <x v="0"/>
    <s v="CCS"/>
    <n v="1500"/>
    <s v="500"/>
    <n v="7"/>
    <s v="FWD"/>
    <s v="N - Passenger Van"/>
    <n v="4911"/>
    <n v="1860"/>
    <n v="1815"/>
    <x v="5"/>
    <s v="https://ev-database.org/car/2043/Renault-Kangoo-Grand-E-Tech-Electric"/>
  </r>
  <r>
    <x v="44"/>
    <x v="360"/>
    <n v="150"/>
    <x v="0"/>
    <n v="60"/>
    <s v="31–60 kWh"/>
    <s v="Lithium-ion"/>
    <n v="288"/>
    <n v="250"/>
    <n v="125"/>
    <x v="1"/>
    <n v="380"/>
    <x v="0"/>
    <n v="10.5"/>
    <s v="8.0+ s"/>
    <n v="88"/>
    <x v="0"/>
    <s v="CCS"/>
    <n v="500"/>
    <s v="440"/>
    <n v="5"/>
    <s v="FWD"/>
    <s v="C - Medium"/>
    <n v="4200"/>
    <n v="1860"/>
    <n v="1505"/>
    <x v="0"/>
    <s v="https://ev-database.org/car/3131/Renault-Megane-E-Tech-EV60-130hp"/>
  </r>
  <r>
    <x v="44"/>
    <x v="361"/>
    <n v="160"/>
    <x v="0"/>
    <n v="60"/>
    <s v="31–60 kWh"/>
    <s v="Lithium-ion"/>
    <n v="288"/>
    <n v="300"/>
    <n v="133"/>
    <x v="0"/>
    <n v="380"/>
    <x v="0"/>
    <n v="7.4"/>
    <s v="6.0–7.9 s"/>
    <n v="88"/>
    <x v="0"/>
    <s v="CCS"/>
    <n v="900"/>
    <s v="440"/>
    <n v="5"/>
    <s v="FWD"/>
    <s v="C - Medium"/>
    <n v="4200"/>
    <n v="1860"/>
    <n v="1505"/>
    <x v="0"/>
    <s v="https://ev-database.org/car/3132/Renault-Megane-E-Tech-EV60-220hp"/>
  </r>
  <r>
    <x v="44"/>
    <x v="362"/>
    <n v="150"/>
    <x v="0"/>
    <n v="60"/>
    <s v="31–60 kWh"/>
    <s v="Lithium-ion"/>
    <n v="192"/>
    <n v="280"/>
    <n v="144"/>
    <x v="0"/>
    <n v="340"/>
    <x v="0"/>
    <n v="8.6"/>
    <s v="8.0+ s"/>
    <n v="75"/>
    <x v="0"/>
    <s v="CCS"/>
    <n v="1100"/>
    <s v="545"/>
    <n v="5"/>
    <s v="FWD"/>
    <s v="JC - Medium"/>
    <n v="4470"/>
    <n v="1864"/>
    <n v="1571"/>
    <x v="1"/>
    <s v="https://ev-database.org/car/2068/Renault-Scenic-E-Tech-EV60-170hp"/>
  </r>
  <r>
    <x v="44"/>
    <x v="363"/>
    <n v="170"/>
    <x v="0"/>
    <n v="87"/>
    <s v="61+ kWh"/>
    <s v="Lithium-ion"/>
    <n v="288"/>
    <n v="300"/>
    <n v="143"/>
    <x v="0"/>
    <n v="480"/>
    <x v="1"/>
    <n v="7.9"/>
    <s v="6.0–7.9 s"/>
    <n v="95"/>
    <x v="0"/>
    <s v="CCS"/>
    <n v="1100"/>
    <s v="545"/>
    <n v="5"/>
    <s v="FWD"/>
    <s v="JC - Medium"/>
    <n v="4470"/>
    <n v="1864"/>
    <n v="1571"/>
    <x v="1"/>
    <s v="https://ev-database.org/car/2069/Renault-Scenic-E-Tech-EV87-220hp"/>
  </r>
  <r>
    <x v="45"/>
    <x v="364"/>
    <n v="250"/>
    <x v="4"/>
    <n v="102"/>
    <s v="61+ kWh"/>
    <s v="Lithium-ion"/>
    <m/>
    <n v="900"/>
    <n v="192"/>
    <x v="2"/>
    <n v="465"/>
    <x v="1"/>
    <n v="4.5"/>
    <s v="4.0–5.9 s"/>
    <n v="126"/>
    <x v="2"/>
    <s v="CCS"/>
    <m/>
    <s v="380"/>
    <n v="4"/>
    <s v="AWD"/>
    <s v="I - Luxury"/>
    <n v="5453"/>
    <n v="2080"/>
    <n v="1559"/>
    <x v="7"/>
    <s v="https://ev-database.org/car/1765/Rolls-Royce-Spectre"/>
  </r>
  <r>
    <x v="46"/>
    <x v="365"/>
    <n v="160"/>
    <x v="0"/>
    <n v="52"/>
    <s v="31–60 kWh"/>
    <s v="Lithium-ion"/>
    <n v="192"/>
    <n v="310"/>
    <n v="149"/>
    <x v="0"/>
    <n v="310"/>
    <x v="0"/>
    <n v="9"/>
    <s v="8.0+ s"/>
    <n v="90"/>
    <x v="0"/>
    <s v="CCS"/>
    <n v="1000"/>
    <s v="470"/>
    <n v="5"/>
    <s v="RWD"/>
    <s v="JC - Medium"/>
    <n v="4488"/>
    <n v="1884"/>
    <n v="1625"/>
    <x v="1"/>
    <s v="https://ev-database.org/car/3031/Skoda-Elroq-50"/>
  </r>
  <r>
    <x v="46"/>
    <x v="366"/>
    <n v="160"/>
    <x v="0"/>
    <n v="59"/>
    <s v="31–60 kWh"/>
    <s v="Lithium-ion"/>
    <n v="216"/>
    <n v="310"/>
    <n v="149"/>
    <x v="0"/>
    <n v="350"/>
    <x v="0"/>
    <n v="8.5"/>
    <s v="8.0+ s"/>
    <n v="110"/>
    <x v="2"/>
    <s v="CCS"/>
    <n v="1000"/>
    <s v="470"/>
    <n v="5"/>
    <s v="RWD"/>
    <s v="JC - Medium"/>
    <n v="4488"/>
    <n v="1884"/>
    <n v="1625"/>
    <x v="1"/>
    <s v="https://ev-database.org/car/3032/Skoda-Elroq-60"/>
  </r>
  <r>
    <x v="46"/>
    <x v="367"/>
    <n v="180"/>
    <x v="2"/>
    <n v="77"/>
    <s v="61+ kWh"/>
    <s v="Lithium-ion"/>
    <n v="288"/>
    <n v="545"/>
    <n v="145"/>
    <x v="0"/>
    <n v="450"/>
    <x v="1"/>
    <n v="6.6"/>
    <s v="6.0–7.9 s"/>
    <n v="120"/>
    <x v="2"/>
    <s v="CCS"/>
    <n v="1000"/>
    <s v="470"/>
    <n v="5"/>
    <s v="RWD"/>
    <s v="JC - Medium"/>
    <n v="4488"/>
    <n v="1884"/>
    <n v="1625"/>
    <x v="1"/>
    <s v="https://ev-database.org/car/3033/Skoda-Elroq-85"/>
  </r>
  <r>
    <x v="46"/>
    <x v="368"/>
    <n v="180"/>
    <x v="2"/>
    <n v="79"/>
    <s v="61+ kWh"/>
    <s v="Lithium-ion"/>
    <n v="288"/>
    <n v="679"/>
    <n v="151"/>
    <x v="0"/>
    <n v="450"/>
    <x v="1"/>
    <n v="5.4"/>
    <s v="4.0–5.9 s"/>
    <n v="135"/>
    <x v="2"/>
    <s v="CCS"/>
    <n v="1200"/>
    <s v="470"/>
    <n v="5"/>
    <s v="AWD"/>
    <s v="JC - Medium"/>
    <n v="4488"/>
    <n v="1884"/>
    <n v="1608"/>
    <x v="1"/>
    <s v="https://ev-database.org/car/3183/Skoda-Elroq-RS"/>
  </r>
  <r>
    <x v="46"/>
    <x v="369"/>
    <n v="160"/>
    <x v="0"/>
    <n v="59"/>
    <s v="31–60 kWh"/>
    <s v="Lithium-ion"/>
    <n v="216"/>
    <n v="310"/>
    <n v="145"/>
    <x v="0"/>
    <n v="360"/>
    <x v="0"/>
    <n v="8.1"/>
    <s v="8.0+ s"/>
    <n v="110"/>
    <x v="2"/>
    <s v="CCS"/>
    <n v="1000"/>
    <s v="585"/>
    <n v="5"/>
    <s v="RWD"/>
    <s v="JC - Medium"/>
    <n v="4658"/>
    <n v="1879"/>
    <n v="1622"/>
    <x v="1"/>
    <s v="https://ev-database.org/car/3096/Skoda-Enyaq-60"/>
  </r>
  <r>
    <x v="46"/>
    <x v="370"/>
    <n v="180"/>
    <x v="2"/>
    <n v="77"/>
    <s v="61+ kWh"/>
    <s v="Lithium-ion"/>
    <n v="288"/>
    <n v="545"/>
    <n v="141"/>
    <x v="0"/>
    <n v="455"/>
    <x v="1"/>
    <n v="6.7"/>
    <s v="6.0–7.9 s"/>
    <n v="120"/>
    <x v="2"/>
    <s v="CCS"/>
    <n v="1000"/>
    <s v="585"/>
    <n v="5"/>
    <s v="RWD"/>
    <s v="JC - Medium"/>
    <n v="4658"/>
    <n v="1879"/>
    <n v="1622"/>
    <x v="1"/>
    <s v="https://ev-database.org/car/3097/Skoda-Enyaq-85"/>
  </r>
  <r>
    <x v="46"/>
    <x v="371"/>
    <n v="180"/>
    <x v="2"/>
    <n v="77"/>
    <s v="61+ kWh"/>
    <s v="Lithium-ion"/>
    <n v="288"/>
    <n v="679"/>
    <n v="150"/>
    <x v="0"/>
    <n v="450"/>
    <x v="1"/>
    <n v="6.7"/>
    <s v="6.0–7.9 s"/>
    <n v="120"/>
    <x v="2"/>
    <s v="CCS"/>
    <n v="1200"/>
    <s v="585"/>
    <n v="5"/>
    <s v="AWD"/>
    <s v="JC - Medium"/>
    <n v="4658"/>
    <n v="1879"/>
    <n v="1620"/>
    <x v="1"/>
    <s v="https://ev-database.org/car/3098/Skoda-Enyaq-85x"/>
  </r>
  <r>
    <x v="46"/>
    <x v="372"/>
    <n v="160"/>
    <x v="0"/>
    <n v="59"/>
    <s v="31–60 kWh"/>
    <s v="Lithium-ion"/>
    <n v="216"/>
    <n v="310"/>
    <n v="141"/>
    <x v="0"/>
    <n v="370"/>
    <x v="0"/>
    <n v="8.1"/>
    <s v="8.0+ s"/>
    <n v="110"/>
    <x v="2"/>
    <s v="CCS"/>
    <n v="1000"/>
    <s v="570"/>
    <n v="5"/>
    <s v="RWD"/>
    <s v="JC - Medium"/>
    <n v="4658"/>
    <n v="1879"/>
    <n v="1623"/>
    <x v="1"/>
    <s v="https://ev-database.org/car/3099/Skoda-Enyaq-Coupe-60"/>
  </r>
  <r>
    <x v="46"/>
    <x v="373"/>
    <n v="180"/>
    <x v="2"/>
    <n v="77"/>
    <s v="61+ kWh"/>
    <s v="Lithium-ion"/>
    <n v="288"/>
    <n v="545"/>
    <n v="138"/>
    <x v="0"/>
    <n v="470"/>
    <x v="1"/>
    <n v="6.7"/>
    <s v="6.0–7.9 s"/>
    <n v="120"/>
    <x v="2"/>
    <s v="CCS"/>
    <n v="1000"/>
    <s v="570"/>
    <n v="5"/>
    <s v="RWD"/>
    <s v="JC - Medium"/>
    <n v="4658"/>
    <n v="1879"/>
    <n v="1623"/>
    <x v="1"/>
    <s v="https://ev-database.org/car/3100/Skoda-Enyaq-Coupe-85"/>
  </r>
  <r>
    <x v="46"/>
    <x v="374"/>
    <n v="180"/>
    <x v="2"/>
    <n v="77"/>
    <s v="61+ kWh"/>
    <s v="Lithium-ion"/>
    <n v="288"/>
    <n v="679"/>
    <n v="146"/>
    <x v="0"/>
    <n v="460"/>
    <x v="1"/>
    <n v="6.7"/>
    <s v="6.0–7.9 s"/>
    <n v="120"/>
    <x v="2"/>
    <s v="CCS"/>
    <n v="1200"/>
    <s v="570"/>
    <n v="5"/>
    <s v="AWD"/>
    <s v="JC - Medium"/>
    <n v="4658"/>
    <n v="1879"/>
    <n v="1621"/>
    <x v="1"/>
    <s v="https://ev-database.org/car/3101/Skoda-Enyaq-Coupe-85x"/>
  </r>
  <r>
    <x v="46"/>
    <x v="375"/>
    <n v="180"/>
    <x v="2"/>
    <n v="79"/>
    <s v="61+ kWh"/>
    <s v="Lithium-ion"/>
    <n v="288"/>
    <n v="679"/>
    <n v="143"/>
    <x v="0"/>
    <n v="470"/>
    <x v="1"/>
    <n v="5.4"/>
    <s v="4.0–5.9 s"/>
    <n v="135"/>
    <x v="2"/>
    <s v="CCS"/>
    <n v="1200"/>
    <s v="570"/>
    <n v="5"/>
    <s v="AWD"/>
    <s v="JC - Medium"/>
    <n v="4660"/>
    <n v="1879"/>
    <n v="1608"/>
    <x v="1"/>
    <s v="https://ev-database.org/car/3185/Skoda-Enyaq-Coupe-RS"/>
  </r>
  <r>
    <x v="46"/>
    <x v="376"/>
    <n v="180"/>
    <x v="2"/>
    <n v="79"/>
    <s v="61+ kWh"/>
    <s v="Lithium-ion"/>
    <n v="288"/>
    <n v="679"/>
    <n v="147"/>
    <x v="0"/>
    <n v="460"/>
    <x v="1"/>
    <n v="5.4"/>
    <s v="4.0–5.9 s"/>
    <n v="135"/>
    <x v="2"/>
    <s v="CCS"/>
    <n v="1200"/>
    <s v="585"/>
    <n v="5"/>
    <s v="AWD"/>
    <s v="JC - Medium"/>
    <n v="4660"/>
    <n v="1879"/>
    <n v="1607"/>
    <x v="1"/>
    <s v="https://ev-database.org/car/3184/Skoda-Enyaq-RS"/>
  </r>
  <r>
    <x v="47"/>
    <x v="377"/>
    <n v="150"/>
    <x v="0"/>
    <n v="81"/>
    <s v="61+ kWh"/>
    <s v="Lithium-ion"/>
    <m/>
    <n v="320"/>
    <n v="166"/>
    <x v="2"/>
    <n v="390"/>
    <x v="0"/>
    <n v="9.6"/>
    <s v="8.0+ s"/>
    <n v="50"/>
    <x v="0"/>
    <s v="CCS"/>
    <m/>
    <s v="467"/>
    <n v="5"/>
    <s v="FWD"/>
    <s v="JD - Large"/>
    <n v="4720"/>
    <n v="1908"/>
    <n v="1696"/>
    <x v="1"/>
    <s v="https://ev-database.org/car/3065/Skywell-BE11-Long-Range"/>
  </r>
  <r>
    <x v="47"/>
    <x v="378"/>
    <n v="150"/>
    <x v="0"/>
    <n v="68"/>
    <s v="61+ kWh"/>
    <s v="Lithium-ion"/>
    <m/>
    <n v="320"/>
    <n v="149"/>
    <x v="0"/>
    <n v="330"/>
    <x v="0"/>
    <n v="9.6"/>
    <s v="8.0+ s"/>
    <n v="50"/>
    <x v="0"/>
    <s v="CCS"/>
    <m/>
    <s v="467"/>
    <n v="5"/>
    <s v="FWD"/>
    <s v="JD - Large"/>
    <n v="4720"/>
    <n v="1908"/>
    <n v="1696"/>
    <x v="1"/>
    <s v="https://ev-database.org/car/3064/Skywell-BE11-Standard-Range"/>
  </r>
  <r>
    <x v="48"/>
    <x v="379"/>
    <n v="180"/>
    <x v="2"/>
    <n v="62"/>
    <s v="61+ kWh"/>
    <s v="Lithium-ion"/>
    <m/>
    <n v="584"/>
    <n v="155"/>
    <x v="0"/>
    <n v="325"/>
    <x v="0"/>
    <n v="3.9"/>
    <s v="0–3.9 s"/>
    <n v="100"/>
    <x v="2"/>
    <s v="CCS"/>
    <n v="1600"/>
    <s v="313"/>
    <n v="5"/>
    <s v="AWD"/>
    <s v="JB - Compact"/>
    <n v="4300"/>
    <n v="1822"/>
    <n v="1636"/>
    <x v="1"/>
    <s v="https://ev-database.org/car/1748/Smart-1-Brabus"/>
  </r>
  <r>
    <x v="48"/>
    <x v="380"/>
    <n v="180"/>
    <x v="2"/>
    <n v="62"/>
    <s v="61+ kWh"/>
    <s v="Lithium-ion"/>
    <m/>
    <n v="343"/>
    <n v="141"/>
    <x v="0"/>
    <n v="335"/>
    <x v="0"/>
    <n v="6.7"/>
    <s v="6.0–7.9 s"/>
    <n v="100"/>
    <x v="2"/>
    <s v="CCS"/>
    <n v="1600"/>
    <s v="323"/>
    <n v="5"/>
    <s v="RWD"/>
    <s v="JB - Compact"/>
    <n v="4270"/>
    <n v="1822"/>
    <n v="1636"/>
    <x v="1"/>
    <s v="https://ev-database.org/car/2053/Smart-1-Premium"/>
  </r>
  <r>
    <x v="48"/>
    <x v="381"/>
    <n v="180"/>
    <x v="2"/>
    <n v="47"/>
    <s v="31–60 kWh"/>
    <s v="Lithium-ion"/>
    <m/>
    <n v="343"/>
    <n v="152"/>
    <x v="0"/>
    <n v="250"/>
    <x v="0"/>
    <n v="6.7"/>
    <s v="6.0–7.9 s"/>
    <n v="65"/>
    <x v="0"/>
    <s v="CCS"/>
    <n v="0"/>
    <s v="323"/>
    <n v="5"/>
    <s v="RWD"/>
    <s v="JB - Compact"/>
    <n v="4270"/>
    <n v="1822"/>
    <n v="1636"/>
    <x v="1"/>
    <s v="https://ev-database.org/car/2041/Smart-1-Pro"/>
  </r>
  <r>
    <x v="48"/>
    <x v="382"/>
    <n v="180"/>
    <x v="2"/>
    <n v="62"/>
    <s v="61+ kWh"/>
    <s v="Lithium-ion"/>
    <m/>
    <n v="343"/>
    <n v="148"/>
    <x v="0"/>
    <n v="335"/>
    <x v="0"/>
    <n v="6.7"/>
    <s v="6.0–7.9 s"/>
    <n v="100"/>
    <x v="2"/>
    <s v="CCS"/>
    <n v="1600"/>
    <s v="323"/>
    <n v="5"/>
    <s v="RWD"/>
    <s v="JB - Compact"/>
    <n v="4270"/>
    <n v="1822"/>
    <n v="1636"/>
    <x v="1"/>
    <s v="https://ev-database.org/car/1667/Smart-1-Proplus"/>
  </r>
  <r>
    <x v="48"/>
    <x v="383"/>
    <n v="180"/>
    <x v="2"/>
    <n v="62"/>
    <s v="61+ kWh"/>
    <s v="Lithium-ion"/>
    <m/>
    <n v="584"/>
    <n v="155"/>
    <x v="0"/>
    <n v="325"/>
    <x v="0"/>
    <n v="4.5"/>
    <s v="4.0–5.9 s"/>
    <n v="100"/>
    <x v="2"/>
    <s v="CCS"/>
    <n v="1600"/>
    <s v="313"/>
    <n v="5"/>
    <s v="AWD"/>
    <s v="JB - Compact"/>
    <n v="4300"/>
    <n v="1822"/>
    <n v="1636"/>
    <x v="1"/>
    <s v="https://ev-database.org/car/1920/Smart-1-Pulse"/>
  </r>
  <r>
    <x v="48"/>
    <x v="384"/>
    <n v="180"/>
    <x v="2"/>
    <n v="47"/>
    <s v="31–60 kWh"/>
    <s v="Lithium-ion"/>
    <m/>
    <n v="343"/>
    <n v="152"/>
    <x v="0"/>
    <n v="250"/>
    <x v="0"/>
    <n v="6.7"/>
    <s v="6.0–7.9 s"/>
    <n v="65"/>
    <x v="0"/>
    <s v="CCS"/>
    <n v="0"/>
    <s v="323"/>
    <n v="5"/>
    <s v="RWD"/>
    <s v="JB - Compact"/>
    <n v="4270"/>
    <n v="1822"/>
    <n v="1636"/>
    <x v="1"/>
    <s v="https://ev-database.org/car/2217/Smart-1-Pure"/>
  </r>
  <r>
    <x v="48"/>
    <x v="385"/>
    <n v="180"/>
    <x v="2"/>
    <n v="62"/>
    <s v="61+ kWh"/>
    <s v="Lithium-ion"/>
    <m/>
    <n v="343"/>
    <n v="148"/>
    <x v="0"/>
    <n v="335"/>
    <x v="0"/>
    <n v="6.7"/>
    <s v="6.0–7.9 s"/>
    <n v="100"/>
    <x v="2"/>
    <s v="CCS"/>
    <n v="1600"/>
    <s v="323"/>
    <n v="5"/>
    <s v="RWD"/>
    <s v="JB - Compact"/>
    <n v="4270"/>
    <n v="1822"/>
    <n v="1636"/>
    <x v="1"/>
    <s v="https://ev-database.org/car/2218/Smart-1-Pureplus"/>
  </r>
  <r>
    <x v="48"/>
    <x v="386"/>
    <n v="180"/>
    <x v="2"/>
    <n v="62"/>
    <s v="61+ kWh"/>
    <s v="Lithium-ion"/>
    <m/>
    <n v="543"/>
    <n v="149"/>
    <x v="0"/>
    <n v="335"/>
    <x v="0"/>
    <n v="3.7"/>
    <s v="0–3.9 s"/>
    <n v="100"/>
    <x v="2"/>
    <s v="CCS"/>
    <n v="1600"/>
    <s v="370"/>
    <n v="5"/>
    <s v="AWD"/>
    <s v="JB - Compact"/>
    <n v="4400"/>
    <n v="1844"/>
    <n v="1556"/>
    <x v="1"/>
    <s v="https://ev-database.org/car/2000/Smart-3-Brabus"/>
  </r>
  <r>
    <x v="48"/>
    <x v="387"/>
    <n v="180"/>
    <x v="2"/>
    <n v="62"/>
    <s v="61+ kWh"/>
    <s v="Lithium-ion"/>
    <m/>
    <n v="343"/>
    <n v="136"/>
    <x v="0"/>
    <n v="355"/>
    <x v="0"/>
    <n v="5.8"/>
    <s v="4.0–5.9 s"/>
    <n v="110"/>
    <x v="2"/>
    <s v="CCS"/>
    <n v="1600"/>
    <s v="370"/>
    <n v="5"/>
    <s v="RWD"/>
    <s v="JB - Compact"/>
    <n v="4400"/>
    <n v="1844"/>
    <n v="1556"/>
    <x v="1"/>
    <s v="https://ev-database.org/car/2054/Smart-3-Premium"/>
  </r>
  <r>
    <x v="48"/>
    <x v="388"/>
    <n v="180"/>
    <x v="2"/>
    <n v="47"/>
    <s v="31–60 kWh"/>
    <s v="Lithium-ion"/>
    <m/>
    <n v="343"/>
    <n v="145"/>
    <x v="0"/>
    <n v="265"/>
    <x v="0"/>
    <n v="5.9"/>
    <s v="4.0–5.9 s"/>
    <n v="65"/>
    <x v="0"/>
    <s v="CCS"/>
    <n v="0"/>
    <s v="370"/>
    <n v="5"/>
    <s v="RWD"/>
    <s v="JB - Compact"/>
    <n v="4400"/>
    <n v="1844"/>
    <n v="1556"/>
    <x v="1"/>
    <s v="https://ev-database.org/car/2052/Smart-3-Pro"/>
  </r>
  <r>
    <x v="48"/>
    <x v="389"/>
    <n v="180"/>
    <x v="2"/>
    <n v="62"/>
    <s v="61+ kWh"/>
    <s v="Lithium-ion"/>
    <m/>
    <n v="343"/>
    <n v="143"/>
    <x v="0"/>
    <n v="355"/>
    <x v="0"/>
    <n v="5.8"/>
    <s v="4.0–5.9 s"/>
    <n v="110"/>
    <x v="2"/>
    <s v="CCS"/>
    <n v="1600"/>
    <s v="370"/>
    <n v="5"/>
    <s v="RWD"/>
    <s v="JB - Compact"/>
    <n v="4400"/>
    <n v="1844"/>
    <n v="1556"/>
    <x v="1"/>
    <s v="https://ev-database.org/car/1999/Smart-3-Proplus"/>
  </r>
  <r>
    <x v="48"/>
    <x v="390"/>
    <n v="210"/>
    <x v="1"/>
    <n v="94"/>
    <s v="61+ kWh"/>
    <s v="Lithium-ion"/>
    <m/>
    <n v="710"/>
    <n v="174"/>
    <x v="2"/>
    <n v="450"/>
    <x v="1"/>
    <n v="3.8"/>
    <s v="0–3.9 s"/>
    <n v="230"/>
    <x v="1"/>
    <s v="CCS"/>
    <n v="1600"/>
    <s v="630"/>
    <n v="5"/>
    <s v="AWD"/>
    <s v="JD - Large"/>
    <n v="4695"/>
    <n v="1920"/>
    <n v="1705"/>
    <x v="1"/>
    <s v="https://ev-database.org/car/3179/Smart-5-Brabus"/>
  </r>
  <r>
    <x v="48"/>
    <x v="391"/>
    <n v="200"/>
    <x v="1"/>
    <n v="94"/>
    <s v="61+ kWh"/>
    <s v="Lithium-ion"/>
    <m/>
    <n v="373"/>
    <n v="159"/>
    <x v="0"/>
    <n v="465"/>
    <x v="1"/>
    <n v="6.5"/>
    <s v="6.0–7.9 s"/>
    <n v="230"/>
    <x v="1"/>
    <s v="CCS"/>
    <n v="1600"/>
    <s v="630"/>
    <n v="5"/>
    <s v="RWD"/>
    <s v="JD - Large"/>
    <n v="4695"/>
    <n v="1920"/>
    <n v="1705"/>
    <x v="1"/>
    <s v="https://ev-database.org/car/3143/Smart-5-Premium"/>
  </r>
  <r>
    <x v="48"/>
    <x v="392"/>
    <n v="200"/>
    <x v="1"/>
    <n v="74.400000000000006"/>
    <s v="61+ kWh"/>
    <s v="Lithium-ion"/>
    <m/>
    <n v="373"/>
    <n v="160"/>
    <x v="0"/>
    <n v="370"/>
    <x v="0"/>
    <n v="6.9"/>
    <s v="6.0–7.9 s"/>
    <n v="110"/>
    <x v="2"/>
    <s v="CCS"/>
    <n v="1600"/>
    <s v="630"/>
    <n v="5"/>
    <s v="RWD"/>
    <s v="JD - Large"/>
    <n v="4695"/>
    <n v="1920"/>
    <n v="1705"/>
    <x v="1"/>
    <s v="https://ev-database.org/car/3141/Smart-5-Pro"/>
  </r>
  <r>
    <x v="48"/>
    <x v="393"/>
    <n v="200"/>
    <x v="1"/>
    <n v="94"/>
    <s v="61+ kWh"/>
    <s v="Lithium-ion"/>
    <m/>
    <n v="373"/>
    <n v="159"/>
    <x v="0"/>
    <n v="465"/>
    <x v="1"/>
    <n v="6.5"/>
    <s v="6.0–7.9 s"/>
    <n v="230"/>
    <x v="1"/>
    <s v="CCS"/>
    <n v="1600"/>
    <s v="630"/>
    <n v="5"/>
    <s v="RWD"/>
    <s v="JD - Large"/>
    <n v="4695"/>
    <n v="1920"/>
    <n v="1705"/>
    <x v="1"/>
    <s v="https://ev-database.org/car/3142/Smart-5-Proplus"/>
  </r>
  <r>
    <x v="48"/>
    <x v="394"/>
    <n v="200"/>
    <x v="1"/>
    <n v="94"/>
    <s v="61+ kWh"/>
    <s v="Lithium-ion"/>
    <m/>
    <n v="643"/>
    <n v="174"/>
    <x v="2"/>
    <n v="455"/>
    <x v="1"/>
    <n v="4.9000000000000004"/>
    <s v="4.0–5.9 s"/>
    <n v="230"/>
    <x v="1"/>
    <s v="CCS"/>
    <n v="1600"/>
    <s v="630"/>
    <n v="5"/>
    <s v="AWD"/>
    <s v="JD - Large"/>
    <n v="4695"/>
    <n v="1920"/>
    <n v="1705"/>
    <x v="1"/>
    <s v="https://ev-database.org/car/3144/Smart-5-Pulse"/>
  </r>
  <r>
    <x v="48"/>
    <x v="395"/>
    <n v="200"/>
    <x v="1"/>
    <n v="94"/>
    <s v="61+ kWh"/>
    <s v="Lithium-ion"/>
    <m/>
    <n v="643"/>
    <n v="174"/>
    <x v="2"/>
    <n v="455"/>
    <x v="1"/>
    <n v="4.9000000000000004"/>
    <s v="4.0–5.9 s"/>
    <n v="230"/>
    <x v="1"/>
    <s v="CCS"/>
    <n v="1600"/>
    <s v="630"/>
    <n v="5"/>
    <s v="AWD"/>
    <s v="JD - Large"/>
    <n v="4695"/>
    <n v="1920"/>
    <n v="1705"/>
    <x v="1"/>
    <s v="https://ev-database.org/car/3145/Smart-5-Summit-Edition"/>
  </r>
  <r>
    <x v="49"/>
    <x v="396"/>
    <n v="160"/>
    <x v="0"/>
    <n v="64"/>
    <s v="61+ kWh"/>
    <s v="Lithium-ion"/>
    <n v="96"/>
    <n v="336"/>
    <n v="154"/>
    <x v="0"/>
    <n v="320"/>
    <x v="0"/>
    <n v="6.9"/>
    <s v="6.0–7.9 s"/>
    <n v="100"/>
    <x v="2"/>
    <s v="CCS"/>
    <n v="750"/>
    <s v="441"/>
    <n v="5"/>
    <s v="AWD"/>
    <s v="JC - Medium"/>
    <n v="4690"/>
    <n v="1860"/>
    <n v="1650"/>
    <x v="1"/>
    <s v="https://ev-database.org/car/1567/Subaru-Solterra-AWD"/>
  </r>
  <r>
    <x v="50"/>
    <x v="397"/>
    <n v="201"/>
    <x v="1"/>
    <n v="75"/>
    <s v="61+ kWh"/>
    <s v="Lithium-ion"/>
    <n v="4416"/>
    <n v="493"/>
    <n v="119"/>
    <x v="1"/>
    <n v="525"/>
    <x v="1"/>
    <n v="4.4000000000000004"/>
    <s v="4.0–5.9 s"/>
    <n v="124"/>
    <x v="2"/>
    <s v="CCS"/>
    <n v="1000"/>
    <s v="594"/>
    <n v="5"/>
    <s v="AWD"/>
    <s v="D - Large"/>
    <n v="4720"/>
    <n v="1849"/>
    <n v="1441"/>
    <x v="4"/>
    <s v="https://ev-database.org/car/1992/Tesla-Model-3-Long-Range-AWD"/>
  </r>
  <r>
    <x v="50"/>
    <x v="398"/>
    <n v="201"/>
    <x v="1"/>
    <n v="75"/>
    <s v="61+ kWh"/>
    <s v="Lithium-ion"/>
    <n v="4416"/>
    <n v="450"/>
    <n v="117"/>
    <x v="1"/>
    <n v="545"/>
    <x v="1"/>
    <n v="5.2"/>
    <s v="4.0–5.9 s"/>
    <n v="124"/>
    <x v="2"/>
    <s v="CCS"/>
    <n v="1000"/>
    <s v="594"/>
    <n v="5"/>
    <s v="RWD"/>
    <s v="D - Large"/>
    <n v="4720"/>
    <n v="1849"/>
    <n v="1441"/>
    <x v="4"/>
    <s v="https://ev-database.org/car/3034/Tesla-Model-3-Long-Range-RWD"/>
  </r>
  <r>
    <x v="50"/>
    <x v="399"/>
    <n v="262"/>
    <x v="4"/>
    <n v="75"/>
    <s v="61+ kWh"/>
    <s v="Lithium-ion"/>
    <n v="4416"/>
    <n v="741"/>
    <n v="142"/>
    <x v="0"/>
    <n v="490"/>
    <x v="1"/>
    <n v="3.2"/>
    <s v="0–3.9 s"/>
    <n v="124"/>
    <x v="2"/>
    <s v="CCS"/>
    <n v="0"/>
    <s v="594"/>
    <n v="5"/>
    <s v="AWD"/>
    <s v="D - Large"/>
    <n v="4720"/>
    <n v="1849"/>
    <n v="1431"/>
    <x v="4"/>
    <s v="https://ev-database.org/car/2188/Tesla-Model-3-Performance"/>
  </r>
  <r>
    <x v="50"/>
    <x v="400"/>
    <n v="201"/>
    <x v="1"/>
    <n v="60.5"/>
    <s v="61+ kWh"/>
    <s v="Lithium-ion"/>
    <m/>
    <n v="420"/>
    <n v="116"/>
    <x v="1"/>
    <n v="445"/>
    <x v="1"/>
    <n v="6.1"/>
    <s v="6.0–7.9 s"/>
    <n v="110"/>
    <x v="2"/>
    <s v="CCS"/>
    <n v="1000"/>
    <s v="594"/>
    <n v="5"/>
    <s v="RWD"/>
    <s v="D - Large"/>
    <n v="4720"/>
    <n v="1849"/>
    <n v="1441"/>
    <x v="4"/>
    <s v="https://ev-database.org/car/3186/Tesla-Model-3-RWD"/>
  </r>
  <r>
    <x v="50"/>
    <x v="401"/>
    <n v="250"/>
    <x v="4"/>
    <n v="95"/>
    <s v="61+ kWh"/>
    <s v="Lithium-ion"/>
    <n v="7920"/>
    <m/>
    <n v="150"/>
    <x v="0"/>
    <n v="575"/>
    <x v="1"/>
    <n v="3.2"/>
    <s v="0–3.9 s"/>
    <n v="140"/>
    <x v="2"/>
    <s v="CCS"/>
    <n v="1600"/>
    <s v="709"/>
    <n v="5"/>
    <s v="AWD"/>
    <s v="F - Luxury"/>
    <n v="5021"/>
    <n v="1987"/>
    <n v="1431"/>
    <x v="3"/>
    <s v="https://ev-database.org/car/1404/Tesla-Model-S-Dual-Motor"/>
  </r>
  <r>
    <x v="50"/>
    <x v="402"/>
    <n v="282"/>
    <x v="6"/>
    <n v="95"/>
    <s v="61+ kWh"/>
    <s v="Lithium-ion"/>
    <n v="7920"/>
    <m/>
    <n v="158"/>
    <x v="0"/>
    <n v="560"/>
    <x v="1"/>
    <n v="2.2999999999999998"/>
    <s v="0–3.9 s"/>
    <n v="140"/>
    <x v="2"/>
    <s v="CCS"/>
    <n v="1600"/>
    <s v="709"/>
    <n v="5"/>
    <s v="AWD"/>
    <s v="F - Luxury"/>
    <n v="5021"/>
    <n v="1987"/>
    <n v="1431"/>
    <x v="3"/>
    <s v="https://ev-database.org/car/1405/Tesla-Model-S-Plaid"/>
  </r>
  <r>
    <x v="50"/>
    <x v="403"/>
    <n v="250"/>
    <x v="4"/>
    <n v="95"/>
    <s v="61+ kWh"/>
    <s v="Lithium-ion"/>
    <n v="7920"/>
    <m/>
    <n v="165"/>
    <x v="2"/>
    <n v="485"/>
    <x v="1"/>
    <n v="3.9"/>
    <s v="0–3.9 s"/>
    <n v="140"/>
    <x v="2"/>
    <s v="CCS"/>
    <n v="2250"/>
    <s v="425"/>
    <n v="7"/>
    <s v="AWD"/>
    <s v="JF - Luxury"/>
    <n v="5057"/>
    <n v="1999"/>
    <n v="1680"/>
    <x v="1"/>
    <s v="https://ev-database.org/car/1407/Tesla-Model-X-Dual-Motor"/>
  </r>
  <r>
    <x v="50"/>
    <x v="404"/>
    <n v="262"/>
    <x v="4"/>
    <n v="95"/>
    <s v="61+ kWh"/>
    <s v="Lithium-ion"/>
    <n v="7920"/>
    <m/>
    <n v="180"/>
    <x v="2"/>
    <n v="465"/>
    <x v="1"/>
    <n v="2.7"/>
    <s v="0–3.9 s"/>
    <n v="140"/>
    <x v="2"/>
    <s v="CCS"/>
    <n v="2250"/>
    <s v="425"/>
    <n v="7"/>
    <s v="AWD"/>
    <s v="JF - Luxury"/>
    <n v="5057"/>
    <n v="1999"/>
    <n v="1680"/>
    <x v="1"/>
    <s v="https://ev-database.org/car/1408/Tesla-Model-X-Plaid"/>
  </r>
  <r>
    <x v="50"/>
    <x v="405"/>
    <n v="201"/>
    <x v="1"/>
    <n v="75"/>
    <s v="61+ kWh"/>
    <s v="Lithium-ion"/>
    <n v="4416"/>
    <n v="493"/>
    <n v="132"/>
    <x v="0"/>
    <n v="455"/>
    <x v="1"/>
    <n v="4.8"/>
    <s v="4.0–5.9 s"/>
    <n v="124"/>
    <x v="2"/>
    <s v="CCS"/>
    <n v="1600"/>
    <s v="854"/>
    <n v="5"/>
    <s v="AWD"/>
    <s v="JD - Large"/>
    <n v="4790"/>
    <n v="1982"/>
    <n v="1624"/>
    <x v="1"/>
    <s v="https://ev-database.org/car/3104/Tesla-Model-Y-Long-Range-AWD"/>
  </r>
  <r>
    <x v="50"/>
    <x v="406"/>
    <n v="201"/>
    <x v="1"/>
    <n v="75"/>
    <s v="61+ kWh"/>
    <s v="Lithium-ion"/>
    <n v="4416"/>
    <n v="450"/>
    <n v="121"/>
    <x v="1"/>
    <n v="470"/>
    <x v="1"/>
    <n v="5.6"/>
    <s v="4.0–5.9 s"/>
    <n v="124"/>
    <x v="2"/>
    <s v="CCS"/>
    <n v="1600"/>
    <s v="854"/>
    <n v="5"/>
    <s v="RWD"/>
    <s v="JD - Large"/>
    <n v="4790"/>
    <n v="1982"/>
    <n v="1624"/>
    <x v="1"/>
    <s v="https://ev-database.org/car/3120/Tesla-Model-Y-Long-Range-RWD"/>
  </r>
  <r>
    <x v="50"/>
    <x v="407"/>
    <n v="201"/>
    <x v="1"/>
    <n v="60.5"/>
    <s v="61+ kWh"/>
    <s v="Lithium-ion"/>
    <m/>
    <n v="420"/>
    <n v="121"/>
    <x v="1"/>
    <n v="375"/>
    <x v="0"/>
    <n v="5.9"/>
    <s v="4.0–5.9 s"/>
    <n v="110"/>
    <x v="2"/>
    <s v="CCS"/>
    <n v="1600"/>
    <s v="854"/>
    <n v="5"/>
    <s v="RWD"/>
    <s v="JD - Large"/>
    <n v="4790"/>
    <n v="1982"/>
    <n v="1624"/>
    <x v="1"/>
    <s v="https://ev-database.org/car/3103/Tesla-Model-Y-RWD"/>
  </r>
  <r>
    <x v="51"/>
    <x v="408"/>
    <n v="130"/>
    <x v="5"/>
    <n v="68"/>
    <s v="61+ kWh"/>
    <s v="Lithium-ion"/>
    <n v="324"/>
    <n v="260"/>
    <n v="204"/>
    <x v="2"/>
    <n v="260"/>
    <x v="0"/>
    <n v="13.3"/>
    <s v="8.0+ s"/>
    <n v="79"/>
    <x v="0"/>
    <s v="CCS"/>
    <n v="1000"/>
    <s v="989"/>
    <n v="9"/>
    <s v="FWD"/>
    <s v="N - Passenger Van"/>
    <n v="5333"/>
    <n v="1920"/>
    <n v="1890"/>
    <x v="5"/>
    <s v="https://ev-database.org/car/2267/Toyota-PROACE-Verso-L-75-kWh"/>
  </r>
  <r>
    <x v="51"/>
    <x v="409"/>
    <n v="130"/>
    <x v="5"/>
    <n v="46.3"/>
    <s v="31–60 kWh"/>
    <s v="Lithium-ion"/>
    <n v="216"/>
    <n v="260"/>
    <n v="217"/>
    <x v="2"/>
    <n v="180"/>
    <x v="2"/>
    <n v="12.1"/>
    <s v="8.0+ s"/>
    <n v="78"/>
    <x v="0"/>
    <s v="CCS"/>
    <n v="1000"/>
    <s v="603"/>
    <n v="9"/>
    <s v="FWD"/>
    <s v="N - Passenger Van"/>
    <n v="4983"/>
    <n v="1920"/>
    <n v="1890"/>
    <x v="5"/>
    <s v="https://ev-database.org/car/2264/Toyota-PROACE-Verso-M-50-kWh"/>
  </r>
  <r>
    <x v="51"/>
    <x v="410"/>
    <n v="130"/>
    <x v="5"/>
    <n v="68"/>
    <s v="61+ kWh"/>
    <s v="Lithium-ion"/>
    <n v="324"/>
    <n v="260"/>
    <n v="202"/>
    <x v="2"/>
    <n v="260"/>
    <x v="0"/>
    <n v="13.3"/>
    <s v="8.0+ s"/>
    <n v="79"/>
    <x v="0"/>
    <s v="CCS"/>
    <n v="1000"/>
    <s v="603"/>
    <n v="9"/>
    <s v="FWD"/>
    <s v="N - Passenger Van"/>
    <n v="4983"/>
    <n v="1920"/>
    <n v="1890"/>
    <x v="5"/>
    <s v="https://ev-database.org/car/2266/Toyota-PROACE-Verso-M-75-kWh"/>
  </r>
  <r>
    <x v="51"/>
    <x v="411"/>
    <n v="132"/>
    <x v="5"/>
    <n v="50"/>
    <s v="31–60 kWh"/>
    <s v="Lithium-ion"/>
    <m/>
    <n v="260"/>
    <n v="149"/>
    <x v="0"/>
    <n v="235"/>
    <x v="0"/>
    <n v="11.7"/>
    <s v="8.0+ s"/>
    <n v="80"/>
    <x v="0"/>
    <s v="CCS"/>
    <n v="750"/>
    <s v="775"/>
    <n v="5"/>
    <s v="FWD"/>
    <s v="N - Passenger Van"/>
    <n v="4403"/>
    <n v="1921"/>
    <n v="1803"/>
    <x v="5"/>
    <s v="https://ev-database.org/car/2165/Toyota-Proace-City-Verso-Electric-L1-50-kWh"/>
  </r>
  <r>
    <x v="51"/>
    <x v="412"/>
    <n v="132"/>
    <x v="5"/>
    <n v="50"/>
    <s v="31–60 kWh"/>
    <s v="Lithium-ion"/>
    <m/>
    <n v="260"/>
    <n v="149"/>
    <x v="0"/>
    <n v="230"/>
    <x v="0"/>
    <n v="11.7"/>
    <s v="8.0+ s"/>
    <n v="80"/>
    <x v="0"/>
    <s v="CCS"/>
    <n v="750"/>
    <s v="1050"/>
    <n v="7"/>
    <s v="FWD"/>
    <s v="N - Passenger Van"/>
    <n v="4753"/>
    <n v="1921"/>
    <n v="1814"/>
    <x v="5"/>
    <s v="https://ev-database.org/car/2166/Toyota-Proace-City-Verso-Electric-L2-50-kWh"/>
  </r>
  <r>
    <x v="51"/>
    <x v="413"/>
    <n v="160"/>
    <x v="0"/>
    <n v="64"/>
    <s v="61+ kWh"/>
    <s v="Lithium-ion"/>
    <n v="96"/>
    <n v="336"/>
    <n v="154"/>
    <x v="0"/>
    <n v="345"/>
    <x v="0"/>
    <n v="6.9"/>
    <s v="6.0–7.9 s"/>
    <n v="100"/>
    <x v="2"/>
    <s v="CCS"/>
    <n v="750"/>
    <s v="452"/>
    <n v="5"/>
    <s v="AWD"/>
    <s v="JC - Medium"/>
    <n v="4690"/>
    <n v="1860"/>
    <n v="1600"/>
    <x v="1"/>
    <s v="https://ev-database.org/car/1565/Toyota-bZ4X-AWD"/>
  </r>
  <r>
    <x v="51"/>
    <x v="414"/>
    <n v="160"/>
    <x v="0"/>
    <n v="64"/>
    <s v="61+ kWh"/>
    <s v="Lithium-ion"/>
    <n v="96"/>
    <n v="265"/>
    <n v="145"/>
    <x v="0"/>
    <n v="350"/>
    <x v="0"/>
    <n v="7.5"/>
    <s v="6.0–7.9 s"/>
    <n v="100"/>
    <x v="2"/>
    <s v="CCS"/>
    <n v="750"/>
    <s v="452"/>
    <n v="5"/>
    <s v="FWD"/>
    <s v="JC - Medium"/>
    <n v="4690"/>
    <n v="1860"/>
    <n v="1600"/>
    <x v="1"/>
    <s v="https://ev-database.org/car/1564/Toyota-bZ4X-FWD"/>
  </r>
  <r>
    <x v="52"/>
    <x v="415"/>
    <n v="200"/>
    <x v="1"/>
    <n v="87.7"/>
    <s v="61+ kWh"/>
    <s v="Lithium-ion"/>
    <m/>
    <n v="500"/>
    <n v="186"/>
    <x v="2"/>
    <n v="405"/>
    <x v="1"/>
    <n v="5.9"/>
    <s v="4.0–5.9 s"/>
    <n v="120"/>
    <x v="2"/>
    <s v="CCS"/>
    <n v="1800"/>
    <s v="376"/>
    <n v="5"/>
    <s v="AWD"/>
    <s v="JD - Large"/>
    <n v="4750"/>
    <n v="1934"/>
    <n v="1667"/>
    <x v="1"/>
    <s v="https://ev-database.org/car/1807/VinFast-VF-8-Eco-Extended-Range"/>
  </r>
  <r>
    <x v="52"/>
    <x v="416"/>
    <n v="200"/>
    <x v="1"/>
    <n v="87.7"/>
    <s v="61+ kWh"/>
    <s v="Lithium-ion"/>
    <m/>
    <n v="620"/>
    <n v="196"/>
    <x v="2"/>
    <n v="400"/>
    <x v="0"/>
    <n v="5.5"/>
    <s v="4.0–5.9 s"/>
    <n v="120"/>
    <x v="2"/>
    <s v="CCS"/>
    <n v="1800"/>
    <s v="376"/>
    <n v="5"/>
    <s v="AWD"/>
    <s v="JD - Large"/>
    <n v="4750"/>
    <n v="1934"/>
    <n v="1667"/>
    <x v="1"/>
    <s v="https://ev-database.org/car/1809/VinFast-VF-8-Plus-Extended-Range"/>
  </r>
  <r>
    <x v="53"/>
    <x v="417"/>
    <n v="160"/>
    <x v="0"/>
    <n v="86"/>
    <s v="61+ kWh"/>
    <s v="Lithium-ion"/>
    <n v="312"/>
    <n v="560"/>
    <n v="182"/>
    <x v="2"/>
    <n v="350"/>
    <x v="0"/>
    <n v="6.5"/>
    <s v="6.0–7.9 s"/>
    <n v="145"/>
    <x v="2"/>
    <s v="CCS"/>
    <n v="1600"/>
    <s v="1340"/>
    <n v="7"/>
    <s v="AWD"/>
    <s v="N - Passenger Van"/>
    <n v="4960"/>
    <n v="1985"/>
    <n v="1927"/>
    <x v="5"/>
    <s v="https://ev-database.org/car/2157/Volkswagen-ID-Buzz-LWB-GTX-"/>
  </r>
  <r>
    <x v="53"/>
    <x v="418"/>
    <n v="160"/>
    <x v="0"/>
    <n v="86"/>
    <s v="61+ kWh"/>
    <s v="Lithium-ion"/>
    <n v="312"/>
    <n v="560"/>
    <n v="190"/>
    <x v="2"/>
    <n v="370"/>
    <x v="0"/>
    <n v="7.9"/>
    <s v="6.0–7.9 s"/>
    <n v="145"/>
    <x v="2"/>
    <s v="CCS"/>
    <n v="1000"/>
    <s v="1340"/>
    <n v="7"/>
    <s v="RWD"/>
    <s v="N - Passenger Van"/>
    <n v="4962"/>
    <n v="1985"/>
    <n v="1924"/>
    <x v="5"/>
    <s v="https://ev-database.org/car/2154/Volkswagen-ID-Buzz-LWB-Pro"/>
  </r>
  <r>
    <x v="53"/>
    <x v="419"/>
    <n v="160"/>
    <x v="0"/>
    <n v="79"/>
    <s v="61+ kWh"/>
    <s v="Lithium-ion"/>
    <n v="288"/>
    <n v="560"/>
    <n v="194"/>
    <x v="2"/>
    <n v="330"/>
    <x v="0"/>
    <n v="6.5"/>
    <s v="6.0–7.9 s"/>
    <n v="135"/>
    <x v="2"/>
    <s v="CCS"/>
    <n v="1800"/>
    <s v="1121"/>
    <n v="6"/>
    <s v="AWD"/>
    <s v="N - Passenger Van"/>
    <n v="4712"/>
    <n v="1985"/>
    <n v="1925"/>
    <x v="5"/>
    <s v="https://ev-database.org/car/2156/Volkswagen-ID-Buzz-NWB-GTX"/>
  </r>
  <r>
    <x v="53"/>
    <x v="420"/>
    <n v="160"/>
    <x v="0"/>
    <n v="79"/>
    <s v="61+ kWh"/>
    <s v="Lithium-ion"/>
    <n v="288"/>
    <n v="560"/>
    <n v="187"/>
    <x v="2"/>
    <n v="360"/>
    <x v="0"/>
    <n v="7.6"/>
    <s v="6.0–7.9 s"/>
    <n v="135"/>
    <x v="2"/>
    <s v="CCS"/>
    <n v="1200"/>
    <s v="1121"/>
    <n v="6"/>
    <s v="RWD"/>
    <s v="N - Passenger Van"/>
    <n v="4712"/>
    <n v="1985"/>
    <n v="1927"/>
    <x v="5"/>
    <s v="https://ev-database.org/car/2232/Volkswagen-ID-Buzz-NWB-Pro"/>
  </r>
  <r>
    <x v="53"/>
    <x v="421"/>
    <n v="145"/>
    <x v="5"/>
    <n v="59"/>
    <s v="31–60 kWh"/>
    <s v="Lithium-ion"/>
    <n v="216"/>
    <n v="310"/>
    <n v="178"/>
    <x v="2"/>
    <n v="275"/>
    <x v="0"/>
    <n v="10.7"/>
    <s v="8.0+ s"/>
    <n v="110"/>
    <x v="2"/>
    <s v="CCS"/>
    <n v="1000"/>
    <s v="1121"/>
    <n v="6"/>
    <s v="RWD"/>
    <s v="N - Passenger Van"/>
    <n v="4712"/>
    <n v="1985"/>
    <n v="1927"/>
    <x v="5"/>
    <s v="https://ev-database.org/car/3119/Volkswagen-ID-Buzz-NWB-Pure"/>
  </r>
  <r>
    <x v="53"/>
    <x v="422"/>
    <n v="180"/>
    <x v="2"/>
    <n v="79"/>
    <s v="61+ kWh"/>
    <s v="Lithium-ion"/>
    <n v="288"/>
    <n v="545"/>
    <n v="131"/>
    <x v="0"/>
    <n v="470"/>
    <x v="1"/>
    <n v="5.9"/>
    <s v="4.0–5.9 s"/>
    <n v="135"/>
    <x v="2"/>
    <s v="CCS"/>
    <n v="0"/>
    <s v="385"/>
    <n v="5"/>
    <s v="RWD"/>
    <s v="C - Medium"/>
    <n v="4322"/>
    <n v="1809"/>
    <n v="1538"/>
    <x v="0"/>
    <s v="https://ev-database.org/car/2152/Volkswagen-ID3-GTX"/>
  </r>
  <r>
    <x v="53"/>
    <x v="423"/>
    <n v="200"/>
    <x v="1"/>
    <n v="79"/>
    <s v="61+ kWh"/>
    <s v="Lithium-ion"/>
    <n v="288"/>
    <n v="545"/>
    <n v="131"/>
    <x v="0"/>
    <n v="465"/>
    <x v="1"/>
    <n v="5.6"/>
    <s v="4.0–5.9 s"/>
    <n v="135"/>
    <x v="2"/>
    <s v="CCS"/>
    <n v="0"/>
    <s v="385"/>
    <n v="5"/>
    <s v="RWD"/>
    <s v="C - Medium"/>
    <n v="4322"/>
    <n v="1809"/>
    <n v="1538"/>
    <x v="0"/>
    <s v="https://ev-database.org/car/2153/Volkswagen-ID3-GTX-Performance"/>
  </r>
  <r>
    <x v="53"/>
    <x v="424"/>
    <n v="160"/>
    <x v="0"/>
    <n v="59"/>
    <s v="31–60 kWh"/>
    <s v="Lithium-ion"/>
    <n v="216"/>
    <n v="310"/>
    <n v="136"/>
    <x v="0"/>
    <n v="365"/>
    <x v="0"/>
    <n v="7.6"/>
    <s v="6.0–7.9 s"/>
    <n v="110"/>
    <x v="2"/>
    <s v="CCS"/>
    <n v="0"/>
    <s v="385"/>
    <n v="5"/>
    <s v="RWD"/>
    <s v="C - Medium"/>
    <n v="4264"/>
    <n v="1809"/>
    <n v="1564"/>
    <x v="0"/>
    <s v="https://ev-database.org/car/2213/Volkswagen-ID3-Pro"/>
  </r>
  <r>
    <x v="53"/>
    <x v="425"/>
    <n v="160"/>
    <x v="0"/>
    <n v="77"/>
    <s v="61+ kWh"/>
    <s v="Lithium-ion"/>
    <n v="288"/>
    <n v="310"/>
    <n v="138"/>
    <x v="0"/>
    <n v="465"/>
    <x v="1"/>
    <n v="7.1"/>
    <s v="6.0–7.9 s"/>
    <n v="120"/>
    <x v="2"/>
    <s v="CCS"/>
    <n v="0"/>
    <s v="385"/>
    <n v="5"/>
    <s v="RWD"/>
    <s v="C - Medium"/>
    <n v="4264"/>
    <n v="1809"/>
    <n v="1564"/>
    <x v="0"/>
    <s v="https://ev-database.org/car/2210/Volkswagen-ID3-Pro-S"/>
  </r>
  <r>
    <x v="53"/>
    <x v="426"/>
    <n v="160"/>
    <x v="0"/>
    <n v="52"/>
    <s v="31–60 kWh"/>
    <s v="Lithium-ion"/>
    <n v="192"/>
    <n v="310"/>
    <n v="134"/>
    <x v="0"/>
    <n v="325"/>
    <x v="0"/>
    <n v="8.1999999999999993"/>
    <s v="8.0+ s"/>
    <n v="90"/>
    <x v="0"/>
    <s v="CCS"/>
    <n v="0"/>
    <s v="385"/>
    <n v="5"/>
    <s v="RWD"/>
    <s v="C - Medium"/>
    <n v="4264"/>
    <n v="1809"/>
    <n v="1564"/>
    <x v="0"/>
    <s v="https://ev-database.org/car/2214/Volkswagen-ID3-Pure"/>
  </r>
  <r>
    <x v="53"/>
    <x v="427"/>
    <n v="180"/>
    <x v="2"/>
    <n v="77"/>
    <s v="61+ kWh"/>
    <s v="Lithium-ion"/>
    <n v="288"/>
    <n v="679"/>
    <n v="152"/>
    <x v="0"/>
    <n v="420"/>
    <x v="1"/>
    <n v="5.4"/>
    <s v="4.0–5.9 s"/>
    <n v="120"/>
    <x v="2"/>
    <s v="CCS"/>
    <n v="1200"/>
    <s v="543"/>
    <n v="5"/>
    <s v="AWD"/>
    <s v="JC - Medium"/>
    <n v="4584"/>
    <n v="1852"/>
    <n v="1631"/>
    <x v="1"/>
    <s v="https://ev-database.org/car/2030/Volkswagen-ID4-GTX"/>
  </r>
  <r>
    <x v="53"/>
    <x v="428"/>
    <n v="180"/>
    <x v="2"/>
    <n v="77"/>
    <s v="61+ kWh"/>
    <s v="Lithium-ion"/>
    <n v="288"/>
    <n v="545"/>
    <n v="149"/>
    <x v="0"/>
    <n v="445"/>
    <x v="1"/>
    <n v="6.7"/>
    <s v="6.0–7.9 s"/>
    <n v="120"/>
    <x v="2"/>
    <s v="CCS"/>
    <n v="1000"/>
    <s v="543"/>
    <n v="5"/>
    <s v="RWD"/>
    <s v="JC - Medium"/>
    <n v="4584"/>
    <n v="1852"/>
    <n v="1631"/>
    <x v="1"/>
    <s v="https://ev-database.org/car/2028/Volkswagen-ID4-Pro"/>
  </r>
  <r>
    <x v="53"/>
    <x v="429"/>
    <n v="180"/>
    <x v="2"/>
    <n v="77"/>
    <s v="61+ kWh"/>
    <s v="Lithium-ion"/>
    <n v="288"/>
    <n v="679"/>
    <n v="155"/>
    <x v="0"/>
    <n v="435"/>
    <x v="1"/>
    <n v="6.6"/>
    <s v="6.0–7.9 s"/>
    <n v="120"/>
    <x v="2"/>
    <s v="CCS"/>
    <n v="1200"/>
    <s v="543"/>
    <n v="5"/>
    <s v="AWD"/>
    <s v="JC - Medium"/>
    <n v="4584"/>
    <n v="1852"/>
    <n v="1631"/>
    <x v="1"/>
    <s v="https://ev-database.org/car/2029/Volkswagen-ID4-Pro-4MOTION"/>
  </r>
  <r>
    <x v="53"/>
    <x v="430"/>
    <n v="160"/>
    <x v="0"/>
    <n v="52"/>
    <s v="31–60 kWh"/>
    <s v="Lithium-ion"/>
    <n v="192"/>
    <n v="310"/>
    <n v="143"/>
    <x v="0"/>
    <n v="285"/>
    <x v="0"/>
    <n v="9"/>
    <s v="8.0+ s"/>
    <n v="87"/>
    <x v="0"/>
    <s v="CCS"/>
    <n v="1000"/>
    <s v="543"/>
    <n v="5"/>
    <s v="RWD"/>
    <s v="JC - Medium"/>
    <n v="4584"/>
    <n v="1852"/>
    <n v="1640"/>
    <x v="1"/>
    <s v="https://ev-database.org/car/2027/Volkswagen-ID4-Pure"/>
  </r>
  <r>
    <x v="53"/>
    <x v="431"/>
    <n v="180"/>
    <x v="2"/>
    <n v="77"/>
    <s v="61+ kWh"/>
    <s v="Lithium-ion"/>
    <n v="288"/>
    <n v="679"/>
    <n v="144"/>
    <x v="0"/>
    <n v="430"/>
    <x v="1"/>
    <n v="5.5"/>
    <s v="4.0–5.9 s"/>
    <n v="120"/>
    <x v="2"/>
    <s v="CCS"/>
    <n v="1200"/>
    <s v="549"/>
    <n v="5"/>
    <s v="AWD"/>
    <s v="JC - Medium"/>
    <n v="4599"/>
    <n v="1852"/>
    <n v="1615"/>
    <x v="1"/>
    <s v="https://ev-database.org/car/2033/Volkswagen-ID5-GTX"/>
  </r>
  <r>
    <x v="53"/>
    <x v="432"/>
    <n v="180"/>
    <x v="2"/>
    <n v="77"/>
    <s v="61+ kWh"/>
    <s v="Lithium-ion"/>
    <n v="288"/>
    <n v="545"/>
    <n v="138"/>
    <x v="0"/>
    <n v="460"/>
    <x v="1"/>
    <n v="6.7"/>
    <s v="6.0–7.9 s"/>
    <n v="120"/>
    <x v="2"/>
    <s v="CCS"/>
    <n v="1000"/>
    <s v="549"/>
    <n v="5"/>
    <s v="RWD"/>
    <s v="JC - Medium"/>
    <n v="4599"/>
    <n v="1852"/>
    <n v="1615"/>
    <x v="1"/>
    <s v="https://ev-database.org/car/2031/Volkswagen-ID5-Pro"/>
  </r>
  <r>
    <x v="53"/>
    <x v="433"/>
    <n v="160"/>
    <x v="0"/>
    <n v="52"/>
    <s v="31–60 kWh"/>
    <s v="Lithium-ion"/>
    <n v="288"/>
    <n v="310"/>
    <n v="142"/>
    <x v="0"/>
    <n v="320"/>
    <x v="0"/>
    <n v="8.9"/>
    <s v="8.0+ s"/>
    <n v="87"/>
    <x v="0"/>
    <s v="CCS"/>
    <n v="1000"/>
    <s v="549"/>
    <n v="5"/>
    <s v="RWD"/>
    <s v="JC - Medium"/>
    <n v="4599"/>
    <n v="1852"/>
    <n v="1615"/>
    <x v="1"/>
    <s v="https://ev-database.org/car/3080/Volkswagen-ID5-Pure"/>
  </r>
  <r>
    <x v="53"/>
    <x v="434"/>
    <n v="180"/>
    <x v="2"/>
    <n v="86"/>
    <s v="61+ kWh"/>
    <s v="Lithium-ion"/>
    <n v="312"/>
    <n v="560"/>
    <n v="145"/>
    <x v="0"/>
    <n v="500"/>
    <x v="1"/>
    <n v="5.4"/>
    <s v="4.0–5.9 s"/>
    <n v="145"/>
    <x v="2"/>
    <s v="CCS"/>
    <n v="1200"/>
    <s v="532"/>
    <n v="5"/>
    <s v="AWD"/>
    <s v="E - Executive"/>
    <n v="4961"/>
    <n v="1862"/>
    <n v="1536"/>
    <x v="3"/>
    <s v="https://ev-database.org/car/2216/Volkswagen-ID7-GTX"/>
  </r>
  <r>
    <x v="53"/>
    <x v="435"/>
    <n v="180"/>
    <x v="2"/>
    <n v="77"/>
    <s v="61+ kWh"/>
    <s v="Lithium-ion"/>
    <n v="288"/>
    <n v="550"/>
    <n v="132"/>
    <x v="0"/>
    <n v="475"/>
    <x v="1"/>
    <n v="6.5"/>
    <s v="6.0–7.9 s"/>
    <n v="125"/>
    <x v="2"/>
    <s v="CCS"/>
    <n v="1000"/>
    <s v="532"/>
    <n v="5"/>
    <s v="RWD"/>
    <s v="E - Executive"/>
    <n v="4961"/>
    <n v="1862"/>
    <n v="1536"/>
    <x v="3"/>
    <s v="https://ev-database.org/car/1839/Volkswagen-ID7-Pro"/>
  </r>
  <r>
    <x v="53"/>
    <x v="436"/>
    <n v="180"/>
    <x v="2"/>
    <n v="86"/>
    <s v="61+ kWh"/>
    <s v="Lithium-ion"/>
    <n v="312"/>
    <n v="550"/>
    <n v="133"/>
    <x v="0"/>
    <n v="525"/>
    <x v="1"/>
    <n v="6.6"/>
    <s v="6.0–7.9 s"/>
    <n v="145"/>
    <x v="2"/>
    <s v="CCS"/>
    <n v="1000"/>
    <s v="532"/>
    <n v="5"/>
    <s v="RWD"/>
    <s v="E - Executive"/>
    <n v="4961"/>
    <n v="1862"/>
    <n v="1536"/>
    <x v="3"/>
    <s v="https://ev-database.org/car/1840/Volkswagen-ID7-Pro-S"/>
  </r>
  <r>
    <x v="53"/>
    <x v="437"/>
    <n v="180"/>
    <x v="2"/>
    <n v="86"/>
    <s v="61+ kWh"/>
    <s v="Lithium-ion"/>
    <n v="312"/>
    <n v="560"/>
    <n v="147"/>
    <x v="0"/>
    <n v="500"/>
    <x v="1"/>
    <n v="5.5"/>
    <s v="4.0–5.9 s"/>
    <n v="145"/>
    <x v="2"/>
    <s v="CCS"/>
    <n v="1200"/>
    <s v="605"/>
    <n v="5"/>
    <s v="AWD"/>
    <s v="E - Executive"/>
    <n v="4961"/>
    <n v="1862"/>
    <n v="1536"/>
    <x v="2"/>
    <s v="https://ev-database.org/car/2158/Volkswagen-ID7-Tourer-GTX"/>
  </r>
  <r>
    <x v="53"/>
    <x v="438"/>
    <n v="180"/>
    <x v="2"/>
    <n v="77"/>
    <s v="61+ kWh"/>
    <s v="Lithium-ion"/>
    <n v="288"/>
    <n v="550"/>
    <n v="146"/>
    <x v="0"/>
    <n v="470"/>
    <x v="1"/>
    <n v="6.6"/>
    <s v="6.0–7.9 s"/>
    <n v="125"/>
    <x v="2"/>
    <s v="CCS"/>
    <n v="1000"/>
    <s v="605"/>
    <n v="5"/>
    <s v="RWD"/>
    <s v="E - Executive"/>
    <n v="4961"/>
    <n v="1862"/>
    <n v="1536"/>
    <x v="2"/>
    <s v="https://ev-database.org/car/2118/Volkswagen-ID7-Tourer-Pro"/>
  </r>
  <r>
    <x v="53"/>
    <x v="439"/>
    <n v="180"/>
    <x v="2"/>
    <n v="86"/>
    <s v="61+ kWh"/>
    <s v="Lithium-ion"/>
    <n v="312"/>
    <n v="550"/>
    <n v="125"/>
    <x v="1"/>
    <n v="520"/>
    <x v="1"/>
    <n v="6.7"/>
    <s v="6.0–7.9 s"/>
    <n v="145"/>
    <x v="2"/>
    <s v="CCS"/>
    <n v="1000"/>
    <s v="605"/>
    <n v="5"/>
    <s v="RWD"/>
    <s v="E - Executive"/>
    <n v="4961"/>
    <n v="1862"/>
    <n v="1536"/>
    <x v="2"/>
    <s v="https://ev-database.org/car/2119/Volkswagen-ID7-Tourer-Pro-S"/>
  </r>
  <r>
    <x v="54"/>
    <x v="440"/>
    <n v="180"/>
    <x v="2"/>
    <n v="67"/>
    <s v="61+ kWh"/>
    <s v="Lithium-ion"/>
    <m/>
    <n v="420"/>
    <n v="151"/>
    <x v="0"/>
    <n v="360"/>
    <x v="0"/>
    <n v="7.3"/>
    <s v="6.0–7.9 s"/>
    <n v="110"/>
    <x v="2"/>
    <s v="CCS"/>
    <n v="1500"/>
    <s v="404"/>
    <n v="5"/>
    <s v="RWD"/>
    <s v="JC - Medium"/>
    <n v="4440"/>
    <n v="1873"/>
    <n v="1596"/>
    <x v="1"/>
    <s v="https://ev-database.org/car/3154/Volvo-EC40-Single-Motor"/>
  </r>
  <r>
    <x v="54"/>
    <x v="441"/>
    <n v="180"/>
    <x v="2"/>
    <n v="79"/>
    <s v="61+ kWh"/>
    <s v="Lithium-ion"/>
    <n v="324"/>
    <n v="420"/>
    <n v="146"/>
    <x v="0"/>
    <n v="420"/>
    <x v="1"/>
    <n v="7.3"/>
    <s v="6.0–7.9 s"/>
    <n v="125"/>
    <x v="2"/>
    <s v="CCS"/>
    <n v="1500"/>
    <s v="404"/>
    <n v="5"/>
    <s v="RWD"/>
    <s v="JC - Medium"/>
    <n v="4440"/>
    <n v="1873"/>
    <n v="1596"/>
    <x v="1"/>
    <s v="https://ev-database.org/car/3155/Volvo-EC40-Single-Motor-ER"/>
  </r>
  <r>
    <x v="54"/>
    <x v="442"/>
    <n v="180"/>
    <x v="2"/>
    <n v="79"/>
    <s v="61+ kWh"/>
    <s v="Lithium-ion"/>
    <n v="324"/>
    <n v="670"/>
    <n v="155"/>
    <x v="0"/>
    <n v="400"/>
    <x v="0"/>
    <n v="4.8"/>
    <s v="4.0–5.9 s"/>
    <n v="125"/>
    <x v="2"/>
    <s v="CCS"/>
    <n v="1800"/>
    <s v="404"/>
    <n v="5"/>
    <s v="AWD"/>
    <s v="JC - Medium"/>
    <n v="4440"/>
    <n v="1873"/>
    <n v="1596"/>
    <x v="1"/>
    <s v="https://ev-database.org/car/3156/Volvo-EC40-Twin-Motor"/>
  </r>
  <r>
    <x v="54"/>
    <x v="443"/>
    <n v="180"/>
    <x v="2"/>
    <n v="79"/>
    <s v="61+ kWh"/>
    <s v="Lithium-ion"/>
    <n v="324"/>
    <n v="670"/>
    <n v="155"/>
    <x v="0"/>
    <n v="400"/>
    <x v="0"/>
    <n v="4.5999999999999996"/>
    <s v="4.0–5.9 s"/>
    <n v="125"/>
    <x v="2"/>
    <s v="CCS"/>
    <n v="1800"/>
    <s v="404"/>
    <n v="5"/>
    <s v="AWD"/>
    <s v="JC - Medium"/>
    <n v="4440"/>
    <n v="1873"/>
    <n v="1596"/>
    <x v="1"/>
    <s v="https://ev-database.org/car/3157/Volvo-EC40-Twin-Motor-Performance"/>
  </r>
  <r>
    <x v="54"/>
    <x v="444"/>
    <n v="180"/>
    <x v="2"/>
    <n v="88"/>
    <s v="61+ kWh"/>
    <s v="Lithium-ion"/>
    <m/>
    <n v="480"/>
    <n v="135"/>
    <x v="0"/>
    <n v="485"/>
    <x v="1"/>
    <n v="6.9"/>
    <s v="6.0–7.9 s"/>
    <n v="190"/>
    <x v="1"/>
    <s v="CCS"/>
    <n v="1600"/>
    <s v="446"/>
    <n v="5"/>
    <s v="RWD"/>
    <s v="F - Luxury"/>
    <n v="5000"/>
    <n v="1942"/>
    <n v="1546"/>
    <x v="3"/>
    <s v="https://ev-database.org/car/3128/Volvo-ES90-Single-Motor"/>
  </r>
  <r>
    <x v="54"/>
    <x v="445"/>
    <n v="180"/>
    <x v="2"/>
    <n v="102"/>
    <s v="61+ kWh"/>
    <s v="Lithium-ion"/>
    <m/>
    <n v="670"/>
    <n v="146"/>
    <x v="0"/>
    <n v="530"/>
    <x v="1"/>
    <n v="5.5"/>
    <s v="4.0–5.9 s"/>
    <n v="225"/>
    <x v="1"/>
    <s v="CCS"/>
    <n v="2000"/>
    <s v="446"/>
    <n v="5"/>
    <s v="AWD"/>
    <s v="F - Luxury"/>
    <n v="5000"/>
    <n v="1942"/>
    <n v="1546"/>
    <x v="3"/>
    <s v="https://ev-database.org/car/3129/Volvo-ES90-Twin-Motor"/>
  </r>
  <r>
    <x v="54"/>
    <x v="446"/>
    <n v="180"/>
    <x v="2"/>
    <n v="102"/>
    <s v="61+ kWh"/>
    <s v="Lithium-ion"/>
    <m/>
    <n v="870"/>
    <n v="146"/>
    <x v="0"/>
    <n v="530"/>
    <x v="3"/>
    <n v="4"/>
    <s v="4.0–5.9 s"/>
    <n v="225"/>
    <x v="1"/>
    <s v="CCS"/>
    <n v="2000"/>
    <s v="446"/>
    <n v="5"/>
    <s v="AWD"/>
    <s v="F - Luxury"/>
    <n v="5000"/>
    <n v="1942"/>
    <n v="1546"/>
    <x v="3"/>
    <s v="https://ev-database.org/car/3130/Volvo-ES90-Twin-Motor-Performance"/>
  </r>
  <r>
    <x v="54"/>
    <x v="447"/>
    <n v="180"/>
    <x v="2"/>
    <n v="65"/>
    <s v="61+ kWh"/>
    <s v="Lithium-ion"/>
    <m/>
    <n v="543"/>
    <n v="152"/>
    <x v="0"/>
    <n v="330"/>
    <x v="4"/>
    <n v="3.7"/>
    <s v="0–3.9 s"/>
    <n v="114"/>
    <x v="2"/>
    <s v="CCS"/>
    <n v="1600"/>
    <s v="318"/>
    <n v="5"/>
    <s v="AWD"/>
    <s v="JB - Compact"/>
    <n v="4233"/>
    <n v="1837"/>
    <n v="1573"/>
    <x v="1"/>
    <s v="https://ev-database.org/car/3118/Volvo-EX30-Cross-Country"/>
  </r>
  <r>
    <x v="54"/>
    <x v="448"/>
    <n v="180"/>
    <x v="2"/>
    <n v="49"/>
    <s v="31–60 kWh"/>
    <s v="Lithium-ion"/>
    <m/>
    <n v="343"/>
    <n v="147"/>
    <x v="0"/>
    <n v="275"/>
    <x v="4"/>
    <n v="5.7"/>
    <s v="4.0–5.9 s"/>
    <n v="80"/>
    <x v="0"/>
    <s v="CCS"/>
    <n v="1000"/>
    <s v="318"/>
    <n v="5"/>
    <s v="RWD"/>
    <s v="JB - Compact"/>
    <n v="4233"/>
    <n v="1837"/>
    <n v="1549"/>
    <x v="1"/>
    <s v="https://ev-database.org/car/1909/Volvo-EX30-Single-Motor"/>
  </r>
  <r>
    <x v="54"/>
    <x v="449"/>
    <n v="180"/>
    <x v="2"/>
    <n v="65"/>
    <s v="61+ kWh"/>
    <s v="Lithium-ion"/>
    <m/>
    <n v="343"/>
    <n v="138"/>
    <x v="0"/>
    <n v="365"/>
    <x v="4"/>
    <n v="5.3"/>
    <s v="4.0–5.9 s"/>
    <n v="113"/>
    <x v="2"/>
    <s v="CCS"/>
    <n v="1600"/>
    <s v="318"/>
    <n v="5"/>
    <s v="RWD"/>
    <s v="JB - Compact"/>
    <n v="4233"/>
    <n v="1837"/>
    <n v="1549"/>
    <x v="1"/>
    <s v="https://ev-database.org/car/1910/Volvo-EX30-Single-Motor-ER"/>
  </r>
  <r>
    <x v="54"/>
    <x v="450"/>
    <n v="180"/>
    <x v="2"/>
    <n v="65"/>
    <s v="61+ kWh"/>
    <s v="Lithium-ion"/>
    <m/>
    <n v="543"/>
    <n v="145"/>
    <x v="0"/>
    <n v="340"/>
    <x v="4"/>
    <n v="3.6"/>
    <s v="0–3.9 s"/>
    <n v="113"/>
    <x v="2"/>
    <s v="CCS"/>
    <n v="1600"/>
    <s v="318"/>
    <n v="5"/>
    <s v="AWD"/>
    <s v="JB - Compact"/>
    <n v="4233"/>
    <n v="1837"/>
    <n v="1549"/>
    <x v="1"/>
    <s v="https://ev-database.org/car/1911/Volvo-EX30-Twin-Motor-Performance"/>
  </r>
  <r>
    <x v="54"/>
    <x v="451"/>
    <n v="180"/>
    <x v="2"/>
    <n v="67"/>
    <s v="61+ kWh"/>
    <s v="Lithium-ion"/>
    <m/>
    <n v="420"/>
    <n v="154"/>
    <x v="0"/>
    <n v="345"/>
    <x v="4"/>
    <n v="7.3"/>
    <s v="6.0–7.9 s"/>
    <n v="110"/>
    <x v="2"/>
    <s v="CCS"/>
    <n v="1500"/>
    <s v="410"/>
    <n v="5"/>
    <s v="RWD"/>
    <s v="JC - Medium"/>
    <n v="4440"/>
    <n v="1863"/>
    <n v="1652"/>
    <x v="1"/>
    <s v="https://ev-database.org/car/3158/Volvo-EX40-Single-Motor"/>
  </r>
  <r>
    <x v="54"/>
    <x v="452"/>
    <n v="180"/>
    <x v="2"/>
    <n v="79"/>
    <s v="61+ kWh"/>
    <s v="Lithium-ion"/>
    <n v="324"/>
    <n v="420"/>
    <n v="152"/>
    <x v="0"/>
    <n v="400"/>
    <x v="4"/>
    <n v="7.3"/>
    <s v="6.0–7.9 s"/>
    <n v="125"/>
    <x v="2"/>
    <s v="CCS"/>
    <n v="1500"/>
    <s v="410"/>
    <n v="5"/>
    <s v="RWD"/>
    <s v="JC - Medium"/>
    <n v="4440"/>
    <n v="1863"/>
    <n v="1652"/>
    <x v="1"/>
    <s v="https://ev-database.org/car/3159/Volvo-EX40-Single-Motor-ER"/>
  </r>
  <r>
    <x v="54"/>
    <x v="453"/>
    <n v="180"/>
    <x v="2"/>
    <n v="79"/>
    <s v="61+ kWh"/>
    <s v="Lithium-ion"/>
    <n v="324"/>
    <n v="670"/>
    <n v="163"/>
    <x v="2"/>
    <n v="385"/>
    <x v="4"/>
    <n v="4.8"/>
    <s v="4.0–5.9 s"/>
    <n v="125"/>
    <x v="2"/>
    <s v="CCS"/>
    <n v="1800"/>
    <s v="410"/>
    <n v="5"/>
    <s v="AWD"/>
    <s v="JC - Medium"/>
    <n v="4440"/>
    <n v="1863"/>
    <n v="1652"/>
    <x v="1"/>
    <s v="https://ev-database.org/car/3160/Volvo-EX40-Twin-Motor"/>
  </r>
  <r>
    <x v="54"/>
    <x v="454"/>
    <n v="180"/>
    <x v="2"/>
    <n v="79"/>
    <s v="61+ kWh"/>
    <s v="Lithium-ion"/>
    <n v="324"/>
    <n v="670"/>
    <n v="163"/>
    <x v="2"/>
    <n v="385"/>
    <x v="4"/>
    <n v="4.5999999999999996"/>
    <s v="4.0–5.9 s"/>
    <n v="125"/>
    <x v="2"/>
    <s v="CCS"/>
    <n v="1800"/>
    <s v="410"/>
    <n v="5"/>
    <s v="AWD"/>
    <s v="JC - Medium"/>
    <n v="4440"/>
    <n v="1863"/>
    <n v="1652"/>
    <x v="1"/>
    <s v="https://ev-database.org/car/3161/Volvo-EX40-Twin-Motor-Performance"/>
  </r>
  <r>
    <x v="54"/>
    <x v="455"/>
    <n v="180"/>
    <x v="2"/>
    <n v="100"/>
    <s v="61+ kWh"/>
    <s v="Lithium-ion"/>
    <n v="192"/>
    <n v="490"/>
    <n v="182"/>
    <x v="2"/>
    <n v="460"/>
    <x v="4"/>
    <n v="8.4"/>
    <s v="8.0+ s"/>
    <n v="140"/>
    <x v="2"/>
    <s v="CCS"/>
    <n v="1200"/>
    <s v="310"/>
    <n v="7"/>
    <s v="RWD"/>
    <s v="JF - Luxury"/>
    <n v="5037"/>
    <n v="1964"/>
    <n v="1744"/>
    <x v="1"/>
    <s v="https://ev-database.org/car/1950/Volvo-EX90-Single-Motor"/>
  </r>
  <r>
    <x v="54"/>
    <x v="456"/>
    <n v="180"/>
    <x v="2"/>
    <n v="107"/>
    <s v="61+ kWh"/>
    <s v="Lithium-ion"/>
    <n v="204"/>
    <n v="770"/>
    <n v="188"/>
    <x v="2"/>
    <n v="470"/>
    <x v="4"/>
    <n v="5.9"/>
    <s v="4.0–5.9 s"/>
    <n v="150"/>
    <x v="1"/>
    <s v="CCS"/>
    <n v="2200"/>
    <s v="310"/>
    <n v="7"/>
    <s v="AWD"/>
    <s v="JF - Luxury"/>
    <n v="5037"/>
    <n v="1964"/>
    <n v="1744"/>
    <x v="1"/>
    <s v="https://ev-database.org/car/1775/Volvo-EX90-Twin-Motor"/>
  </r>
  <r>
    <x v="54"/>
    <x v="457"/>
    <n v="180"/>
    <x v="2"/>
    <n v="107"/>
    <s v="61+ kWh"/>
    <s v="Lithium-ion"/>
    <n v="204"/>
    <n v="910"/>
    <n v="188"/>
    <x v="2"/>
    <n v="455"/>
    <x v="4"/>
    <n v="4.9000000000000004"/>
    <s v="4.0–5.9 s"/>
    <n v="150"/>
    <x v="1"/>
    <s v="CCS"/>
    <n v="2200"/>
    <s v="310"/>
    <n v="7"/>
    <s v="AWD"/>
    <s v="JF - Luxury"/>
    <n v="5037"/>
    <n v="1964"/>
    <n v="1744"/>
    <x v="1"/>
    <s v="https://ev-database.org/car/1776/Volvo-EX90-Twin-Motor-Performance"/>
  </r>
  <r>
    <x v="55"/>
    <x v="458"/>
    <n v="200"/>
    <x v="1"/>
    <n v="100"/>
    <s v="61+ kWh"/>
    <s v="Lithium-ion"/>
    <m/>
    <n v="720"/>
    <n v="200"/>
    <x v="2"/>
    <n v="480"/>
    <x v="4"/>
    <n v="4.4000000000000004"/>
    <s v="4.0–5.9 s"/>
    <n v="80"/>
    <x v="0"/>
    <s v="CCS"/>
    <n v="2000"/>
    <s v="550"/>
    <n v="5"/>
    <s v="AWD"/>
    <s v="JE - Executive"/>
    <n v="4905"/>
    <n v="1950"/>
    <n v="1645"/>
    <x v="1"/>
    <s v="https://ev-database.org/car/2049/Voyah-Free-106-kWh"/>
  </r>
  <r>
    <x v="56"/>
    <x v="459"/>
    <n v="200"/>
    <x v="1"/>
    <n v="87.5"/>
    <s v="61+ kWh"/>
    <s v="Lithium-ion"/>
    <m/>
    <n v="660"/>
    <n v="159"/>
    <x v="0"/>
    <n v="475"/>
    <x v="4"/>
    <n v="4.0999999999999996"/>
    <s v="4.0–5.9 s"/>
    <n v="180"/>
    <x v="1"/>
    <s v="CCS"/>
    <n v="1500"/>
    <s v="571"/>
    <n v="5"/>
    <s v="AWD"/>
    <s v="JD - Large"/>
    <n v="4753"/>
    <n v="1920"/>
    <n v="1650"/>
    <x v="1"/>
    <s v="https://ev-database.org/car/2183/XPENG-G6-AWD-Performance"/>
  </r>
  <r>
    <x v="56"/>
    <x v="460"/>
    <n v="200"/>
    <x v="1"/>
    <n v="87.5"/>
    <s v="61+ kWh"/>
    <s v="Lithium-ion"/>
    <m/>
    <n v="440"/>
    <n v="154"/>
    <x v="0"/>
    <n v="480"/>
    <x v="4"/>
    <n v="6.7"/>
    <s v="6.0–7.9 s"/>
    <n v="180"/>
    <x v="1"/>
    <s v="CCS"/>
    <n v="1500"/>
    <s v="571"/>
    <n v="5"/>
    <s v="RWD"/>
    <s v="JD - Large"/>
    <n v="4753"/>
    <n v="1920"/>
    <n v="1650"/>
    <x v="1"/>
    <s v="https://ev-database.org/car/2182/XPENG-G6-RWD-Long-Range"/>
  </r>
  <r>
    <x v="56"/>
    <x v="461"/>
    <n v="200"/>
    <x v="1"/>
    <n v="66"/>
    <s v="61+ kWh"/>
    <s v="Lithium-ion"/>
    <m/>
    <n v="440"/>
    <n v="152"/>
    <x v="0"/>
    <n v="370"/>
    <x v="4"/>
    <n v="6.9"/>
    <s v="6.0–7.9 s"/>
    <n v="140"/>
    <x v="2"/>
    <s v="CCS"/>
    <n v="1500"/>
    <s v="571"/>
    <n v="5"/>
    <s v="RWD"/>
    <s v="JD - Large"/>
    <n v="4753"/>
    <n v="1920"/>
    <n v="1650"/>
    <x v="1"/>
    <s v="https://ev-database.org/car/2181/XPENG-G6-RWD-Standard-Range"/>
  </r>
  <r>
    <x v="56"/>
    <x v="462"/>
    <n v="200"/>
    <x v="1"/>
    <n v="93.1"/>
    <s v="61+ kWh"/>
    <s v="Lithium-ion"/>
    <m/>
    <n v="717"/>
    <n v="179"/>
    <x v="2"/>
    <n v="465"/>
    <x v="4"/>
    <n v="3.9"/>
    <s v="0–3.9 s"/>
    <n v="224"/>
    <x v="1"/>
    <s v="CCS"/>
    <n v="1500"/>
    <s v="660"/>
    <n v="5"/>
    <s v="AWD"/>
    <s v="JE - Executive"/>
    <n v="4891"/>
    <n v="1937"/>
    <n v="1670"/>
    <x v="1"/>
    <s v="https://ev-database.org/car/1826/XPENG-G9-AWD-Performance"/>
  </r>
  <r>
    <x v="56"/>
    <x v="463"/>
    <n v="200"/>
    <x v="1"/>
    <n v="93.1"/>
    <s v="61+ kWh"/>
    <s v="Lithium-ion"/>
    <m/>
    <n v="430"/>
    <n v="163"/>
    <x v="2"/>
    <n v="480"/>
    <x v="4"/>
    <n v="6.4"/>
    <s v="6.0–7.9 s"/>
    <n v="224"/>
    <x v="1"/>
    <s v="CCS"/>
    <n v="1500"/>
    <s v="660"/>
    <n v="5"/>
    <s v="RWD"/>
    <s v="JE - Executive"/>
    <n v="4891"/>
    <n v="1937"/>
    <n v="1670"/>
    <x v="1"/>
    <s v="https://ev-database.org/car/1825/XPENG-G9-RWD-Long-Range"/>
  </r>
  <r>
    <x v="56"/>
    <x v="464"/>
    <n v="200"/>
    <x v="1"/>
    <n v="75.8"/>
    <s v="61+ kWh"/>
    <s v="Lithium-ion"/>
    <m/>
    <n v="430"/>
    <n v="165"/>
    <x v="2"/>
    <n v="395"/>
    <x v="4"/>
    <n v="6.4"/>
    <s v="6.0–7.9 s"/>
    <n v="170"/>
    <x v="1"/>
    <s v="CCS"/>
    <n v="1500"/>
    <s v="660"/>
    <n v="5"/>
    <s v="RWD"/>
    <s v="JE - Executive"/>
    <n v="4891"/>
    <n v="1937"/>
    <n v="1680"/>
    <x v="1"/>
    <s v="https://ev-database.org/car/1824/XPENG-G9-RWD-Standard-Range"/>
  </r>
  <r>
    <x v="56"/>
    <x v="465"/>
    <n v="200"/>
    <x v="1"/>
    <n v="82.7"/>
    <s v="61+ kWh"/>
    <s v="Lithium-ion"/>
    <m/>
    <n v="757"/>
    <n v="164"/>
    <x v="2"/>
    <n v="460"/>
    <x v="4"/>
    <n v="4.0999999999999996"/>
    <s v="4.0–5.9 s"/>
    <n v="138"/>
    <x v="2"/>
    <s v="CCS"/>
    <n v="0"/>
    <s v="440"/>
    <n v="5"/>
    <s v="AWD"/>
    <s v="E - Executive"/>
    <n v="4888"/>
    <n v="1896"/>
    <n v="1450"/>
    <x v="4"/>
    <s v="https://ev-database.org/car/1822/XPENG-P7-AWD-Performance"/>
  </r>
  <r>
    <x v="56"/>
    <x v="466"/>
    <n v="200"/>
    <x v="1"/>
    <n v="82.7"/>
    <s v="61+ kWh"/>
    <s v="Lithium-ion"/>
    <m/>
    <n v="440"/>
    <n v="144"/>
    <x v="0"/>
    <n v="495"/>
    <x v="4"/>
    <n v="6.7"/>
    <s v="6.0–7.9 s"/>
    <n v="138"/>
    <x v="2"/>
    <s v="CCS"/>
    <n v="0"/>
    <s v="440"/>
    <n v="5"/>
    <s v="RWD"/>
    <s v="E - Executive"/>
    <n v="4888"/>
    <n v="1896"/>
    <n v="1450"/>
    <x v="4"/>
    <s v="https://ev-database.org/car/1821/XPENG-P7-RWD-Long-Range"/>
  </r>
  <r>
    <x v="56"/>
    <x v="467"/>
    <n v="200"/>
    <x v="1"/>
    <n v="82.7"/>
    <s v="61+ kWh"/>
    <s v="Lithium-ion"/>
    <m/>
    <n v="757"/>
    <n v="164"/>
    <x v="2"/>
    <n v="455"/>
    <x v="4"/>
    <n v="4.0999999999999996"/>
    <s v="4.0–5.9 s"/>
    <n v="138"/>
    <x v="2"/>
    <s v="CCS"/>
    <n v="0"/>
    <s v="440"/>
    <n v="5"/>
    <s v="AWD"/>
    <s v="E - Executive"/>
    <n v="4888"/>
    <n v="1896"/>
    <n v="1450"/>
    <x v="4"/>
    <s v="https://ev-database.org/car/1823/XPENG-P7-Wing-Edition"/>
  </r>
  <r>
    <x v="57"/>
    <x v="468"/>
    <n v="200"/>
    <x v="1"/>
    <n v="94"/>
    <s v="61+ kWh"/>
    <s v="Lithium-ion"/>
    <n v="110"/>
    <n v="343"/>
    <n v="152"/>
    <x v="0"/>
    <n v="505"/>
    <x v="4"/>
    <n v="7.2"/>
    <s v="6.0–7.9 s"/>
    <n v="135"/>
    <x v="2"/>
    <s v="CCS"/>
    <n v="1500"/>
    <s v="539"/>
    <n v="5"/>
    <s v="RWD"/>
    <s v="E - Executive"/>
    <n v="4955"/>
    <n v="1999"/>
    <n v="1560"/>
    <x v="3"/>
    <s v="https://ev-database.org/car/1933/Zeekr-001-Long-Range-RWD"/>
  </r>
  <r>
    <x v="57"/>
    <x v="469"/>
    <n v="200"/>
    <x v="1"/>
    <n v="94"/>
    <s v="61+ kWh"/>
    <s v="Lithium-ion"/>
    <n v="110"/>
    <n v="686"/>
    <n v="159"/>
    <x v="0"/>
    <n v="480"/>
    <x v="4"/>
    <n v="3.8"/>
    <s v="0–3.9 s"/>
    <n v="135"/>
    <x v="2"/>
    <s v="CCS"/>
    <n v="2000"/>
    <s v="539"/>
    <n v="5"/>
    <s v="AWD"/>
    <s v="E - Executive"/>
    <n v="4955"/>
    <n v="1999"/>
    <n v="1560"/>
    <x v="3"/>
    <s v="https://ev-database.org/car/1934/Zeekr-001-Performance-AWD"/>
  </r>
  <r>
    <x v="57"/>
    <x v="470"/>
    <n v="200"/>
    <x v="1"/>
    <n v="94"/>
    <s v="61+ kWh"/>
    <s v="Lithium-ion"/>
    <n v="110"/>
    <n v="686"/>
    <n v="162"/>
    <x v="2"/>
    <n v="480"/>
    <x v="4"/>
    <n v="3.8"/>
    <s v="0–3.9 s"/>
    <n v="135"/>
    <x v="2"/>
    <s v="CCS"/>
    <n v="2000"/>
    <s v="539"/>
    <n v="5"/>
    <s v="AWD"/>
    <s v="E - Executive"/>
    <n v="4955"/>
    <n v="1999"/>
    <n v="1548"/>
    <x v="3"/>
    <s v="https://ev-database.org/car/1935/Zeekr-001-Privilege-AWD"/>
  </r>
  <r>
    <x v="57"/>
    <x v="471"/>
    <n v="210"/>
    <x v="1"/>
    <n v="94"/>
    <s v="61+ kWh"/>
    <s v="Lithium-ion"/>
    <m/>
    <n v="440"/>
    <n v="153"/>
    <x v="0"/>
    <n v="475"/>
    <x v="4"/>
    <n v="6"/>
    <s v="6.0–7.9 s"/>
    <n v="260"/>
    <x v="1"/>
    <s v="CCS"/>
    <n v="2000"/>
    <s v="539"/>
    <n v="5"/>
    <s v="RWD"/>
    <s v="JD - Large"/>
    <n v="4787"/>
    <n v="1930"/>
    <n v="1650"/>
    <x v="1"/>
    <s v="https://ev-database.org/car/3082/Zeekr-7X-Long-Range-RWD"/>
  </r>
  <r>
    <x v="57"/>
    <x v="472"/>
    <n v="210"/>
    <x v="1"/>
    <n v="94"/>
    <s v="61+ kWh"/>
    <s v="Lithium-ion"/>
    <m/>
    <n v="710"/>
    <n v="173"/>
    <x v="2"/>
    <n v="450"/>
    <x v="4"/>
    <n v="3.8"/>
    <s v="0–3.9 s"/>
    <n v="260"/>
    <x v="1"/>
    <s v="CCS"/>
    <n v="2000"/>
    <s v="539"/>
    <n v="5"/>
    <s v="AWD"/>
    <s v="JD - Large"/>
    <n v="4787"/>
    <n v="1930"/>
    <n v="1650"/>
    <x v="1"/>
    <s v="https://ev-database.org/car/3083/Zeekr-7X-Performance-AWD"/>
  </r>
  <r>
    <x v="57"/>
    <x v="473"/>
    <n v="210"/>
    <x v="1"/>
    <n v="71"/>
    <s v="61+ kWh"/>
    <s v="Lithium-ion"/>
    <m/>
    <n v="440"/>
    <n v="148"/>
    <x v="0"/>
    <n v="365"/>
    <x v="4"/>
    <n v="6"/>
    <s v="6.0–7.9 s"/>
    <n v="240"/>
    <x v="1"/>
    <s v="CCS"/>
    <n v="2000"/>
    <s v="539"/>
    <n v="5"/>
    <s v="RWD"/>
    <s v="JD - Large"/>
    <n v="4787"/>
    <n v="1930"/>
    <n v="1650"/>
    <x v="1"/>
    <s v="https://ev-database.org/car/3081/Zeekr-7X-Premium-RWD"/>
  </r>
  <r>
    <x v="57"/>
    <x v="474"/>
    <n v="190"/>
    <x v="2"/>
    <n v="49"/>
    <s v="31–60 kWh"/>
    <s v="Lithium-ion"/>
    <m/>
    <n v="343"/>
    <n v="148"/>
    <x v="0"/>
    <n v="265"/>
    <x v="4"/>
    <n v="5.9"/>
    <s v="4.0–5.9 s"/>
    <n v="70"/>
    <x v="0"/>
    <s v="CCS"/>
    <n v="1600"/>
    <s v="362"/>
    <n v="5"/>
    <s v="RWD"/>
    <s v="JB - Compact"/>
    <n v="4432"/>
    <n v="1836"/>
    <n v="1566"/>
    <x v="1"/>
    <s v="https://ev-database.org/car/3197/Zeekr-X-Core-RWD"/>
  </r>
  <r>
    <x v="57"/>
    <x v="475"/>
    <n v="190"/>
    <x v="2"/>
    <n v="65"/>
    <s v="61+ kWh"/>
    <s v="Lithium-ion"/>
    <m/>
    <n v="343"/>
    <n v="146"/>
    <x v="0"/>
    <n v="360"/>
    <x v="4"/>
    <n v="5.6"/>
    <s v="4.0–5.9 s"/>
    <n v="114"/>
    <x v="2"/>
    <s v="CCS"/>
    <n v="1600"/>
    <s v="362"/>
    <n v="5"/>
    <s v="RWD"/>
    <s v="JB - Compact"/>
    <n v="4432"/>
    <n v="1836"/>
    <n v="1566"/>
    <x v="1"/>
    <s v="https://ev-database.org/car/3198/Zeekr-X-Long-Range-RWD"/>
  </r>
  <r>
    <x v="57"/>
    <x v="476"/>
    <n v="190"/>
    <x v="2"/>
    <n v="65"/>
    <s v="61+ kWh"/>
    <s v="Lithium-ion"/>
    <m/>
    <n v="543"/>
    <n v="153"/>
    <x v="0"/>
    <n v="350"/>
    <x v="4"/>
    <n v="3.8"/>
    <s v="0–3.9 s"/>
    <n v="114"/>
    <x v="2"/>
    <s v="CCS"/>
    <n v="1600"/>
    <s v="362"/>
    <n v="5"/>
    <s v="AWD"/>
    <s v="JB - Compact"/>
    <n v="4432"/>
    <n v="1836"/>
    <n v="1566"/>
    <x v="1"/>
    <s v="https://ev-database.org/car/3199/Zeekr-X-Privilege-AWD"/>
  </r>
  <r>
    <x v="58"/>
    <x v="477"/>
    <n v="150"/>
    <x v="0"/>
    <n v="41.2"/>
    <s v="31–60 kWh"/>
    <s v="Lithium-ion"/>
    <n v="112"/>
    <n v="200"/>
    <n v="125"/>
    <x v="1"/>
    <n v="250"/>
    <x v="4"/>
    <n v="8.1"/>
    <s v="8.0+ s"/>
    <n v="65"/>
    <x v="0"/>
    <s v="CCS"/>
    <n v="0"/>
    <s v="404"/>
    <n v="5"/>
    <s v="RWD"/>
    <s v="B - Compact"/>
    <n v="4003"/>
    <n v="1885"/>
    <n v="1557"/>
    <x v="0"/>
    <s v="https://ev-database.org/car/3178/firefly-firef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CA2D9A-3690-4A96-B505-676F9C1FCFF2}" name="PivotTable 3" cacheId="0" applyNumberFormats="0" applyBorderFormats="0" applyFontFormats="0" applyPatternFormats="0" applyAlignmentFormats="0" applyWidthHeightFormats="1" dataCaption="Values" updatedVersion="8" minRefreshableVersion="3" itemPrintTitles="1" createdVersion="8" indent="0" outline="1" outlineData="1" chartFormat="22" rowHeaderCaption="Brand_name">
  <location ref="J2:L13" firstHeaderRow="0" firstDataRow="1" firstDataCol="1"/>
  <pivotFields count="28">
    <pivotField axis="axisRow" showAll="0" measureFilter="1" sortType="descending">
      <items count="60">
        <item x="57"/>
        <item x="56"/>
        <item x="55"/>
        <item x="54"/>
        <item x="53"/>
        <item x="52"/>
        <item x="51"/>
        <item x="50"/>
        <item x="49"/>
        <item x="48"/>
        <item x="47"/>
        <item x="46"/>
        <item x="45"/>
        <item x="44"/>
        <item x="43"/>
        <item x="42"/>
        <item x="41"/>
        <item x="40"/>
        <item x="39"/>
        <item x="38"/>
        <item x="37"/>
        <item x="36"/>
        <item x="31"/>
        <item x="35"/>
        <item x="34"/>
        <item x="33"/>
        <item x="32"/>
        <item x="30"/>
        <item x="29"/>
        <item x="28"/>
        <item x="27"/>
        <item x="26"/>
        <item x="25"/>
        <item x="24"/>
        <item x="23"/>
        <item x="22"/>
        <item x="21"/>
        <item x="20"/>
        <item x="19"/>
        <item x="18"/>
        <item x="16"/>
        <item x="17"/>
        <item x="15"/>
        <item x="58"/>
        <item x="14"/>
        <item x="13"/>
        <item x="10"/>
        <item x="12"/>
        <item x="11"/>
        <item x="7"/>
        <item x="9"/>
        <item x="8"/>
        <item x="6"/>
        <item x="5"/>
        <item x="4"/>
        <item x="3"/>
        <item x="2"/>
        <item x="1"/>
        <item x="0"/>
        <item t="default"/>
      </items>
    </pivotField>
    <pivotField showAll="0" sortType="descending"/>
    <pivotField showAll="0"/>
    <pivotField showAll="0">
      <items count="9">
        <item x="5"/>
        <item x="0"/>
        <item x="2"/>
        <item x="1"/>
        <item x="3"/>
        <item x="4"/>
        <item x="6"/>
        <item x="7"/>
        <item t="default"/>
      </items>
    </pivotField>
    <pivotField showAll="0"/>
    <pivotField showAll="0"/>
    <pivotField showAll="0"/>
    <pivotField showAll="0"/>
    <pivotField showAll="0"/>
    <pivotField dataField="1" showAll="0"/>
    <pivotField showAll="0">
      <items count="4">
        <item x="1"/>
        <item x="0"/>
        <item x="2"/>
        <item t="default"/>
      </items>
    </pivotField>
    <pivotField dataField="1" showAll="0"/>
    <pivotField showAll="0">
      <items count="6">
        <item x="3"/>
        <item x="2"/>
        <item x="0"/>
        <item x="1"/>
        <item x="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items count="9">
        <item x="6"/>
        <item x="7"/>
        <item x="0"/>
        <item x="3"/>
        <item x="4"/>
        <item x="5"/>
        <item x="2"/>
        <item x="1"/>
        <item t="default"/>
      </items>
    </pivotField>
    <pivotField showAll="0"/>
  </pivotFields>
  <rowFields count="1">
    <field x="0"/>
  </rowFields>
  <rowItems count="11">
    <i>
      <x v="2"/>
    </i>
    <i>
      <x v="7"/>
    </i>
    <i>
      <x v="12"/>
    </i>
    <i>
      <x v="14"/>
    </i>
    <i>
      <x v="15"/>
    </i>
    <i>
      <x v="28"/>
    </i>
    <i>
      <x v="29"/>
    </i>
    <i>
      <x v="51"/>
    </i>
    <i>
      <x v="53"/>
    </i>
    <i>
      <x v="54"/>
    </i>
    <i t="grand">
      <x/>
    </i>
  </rowItems>
  <colFields count="1">
    <field x="-2"/>
  </colFields>
  <colItems count="2">
    <i>
      <x/>
    </i>
    <i i="1">
      <x v="1"/>
    </i>
  </colItems>
  <dataFields count="2">
    <dataField name="Avg of range (km)" fld="11" subtotal="average" baseField="0" baseItem="10"/>
    <dataField name="Avg of efficiency (per_km)" fld="9" subtotal="average" baseField="0" baseItem="7"/>
  </dataFields>
  <formats count="1">
    <format dxfId="36">
      <pivotArea outline="0" collapsedLevelsAreSubtotals="1" fieldPosition="0"/>
    </format>
  </formats>
  <conditionalFormats count="2">
    <conditionalFormat priority="28">
      <pivotAreas count="1">
        <pivotArea type="data" collapsedLevelsAreSubtotals="1" fieldPosition="0">
          <references count="2">
            <reference field="4294967294" count="1" selected="0">
              <x v="1"/>
            </reference>
            <reference field="0" count="10">
              <x v="2"/>
              <x v="7"/>
              <x v="12"/>
              <x v="14"/>
              <x v="15"/>
              <x v="28"/>
              <x v="29"/>
              <x v="51"/>
              <x v="53"/>
              <x v="54"/>
            </reference>
          </references>
        </pivotArea>
      </pivotAreas>
    </conditionalFormat>
    <conditionalFormat priority="27">
      <pivotAreas count="1">
        <pivotArea type="data" collapsedLevelsAreSubtotals="1" fieldPosition="0">
          <references count="2">
            <reference field="4294967294" count="1" selected="0">
              <x v="0"/>
            </reference>
            <reference field="0" count="10">
              <x v="2"/>
              <x v="7"/>
              <x v="12"/>
              <x v="14"/>
              <x v="15"/>
              <x v="28"/>
              <x v="29"/>
              <x v="51"/>
              <x v="53"/>
              <x v="54"/>
            </reference>
          </references>
        </pivotArea>
      </pivotAreas>
    </conditionalFormat>
  </conditionalFormats>
  <chartFormats count="4">
    <chartFormat chart="16" format="8" series="1">
      <pivotArea type="data" outline="0" fieldPosition="0">
        <references count="1">
          <reference field="4294967294" count="1" selected="0">
            <x v="0"/>
          </reference>
        </references>
      </pivotArea>
    </chartFormat>
    <chartFormat chart="16" format="9" series="1">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8FCFB4-7C7D-46B1-AF26-9229BA2EFEE3}" name="PivotTable 7" cacheId="0" applyNumberFormats="0" applyBorderFormats="0" applyFontFormats="0" applyPatternFormats="0" applyAlignmentFormats="0" applyWidthHeightFormats="1" dataCaption="Values" updatedVersion="8" minRefreshableVersion="3" itemPrintTitles="1" createdVersion="8" indent="0" outline="1" outlineData="1" chartFormat="23" rowHeaderCaption="Brand_name">
  <location ref="AA2:AC13" firstHeaderRow="0" firstDataRow="1" firstDataCol="1"/>
  <pivotFields count="28">
    <pivotField axis="axisRow" showAll="0" measureFilter="1" sortType="descending">
      <items count="60">
        <item x="57"/>
        <item x="56"/>
        <item x="55"/>
        <item x="54"/>
        <item x="53"/>
        <item x="52"/>
        <item x="51"/>
        <item x="50"/>
        <item x="49"/>
        <item x="48"/>
        <item x="47"/>
        <item x="46"/>
        <item x="45"/>
        <item x="44"/>
        <item x="43"/>
        <item x="42"/>
        <item x="41"/>
        <item x="40"/>
        <item x="39"/>
        <item x="38"/>
        <item x="37"/>
        <item x="36"/>
        <item x="31"/>
        <item x="35"/>
        <item x="34"/>
        <item x="33"/>
        <item x="32"/>
        <item x="30"/>
        <item x="29"/>
        <item x="28"/>
        <item x="27"/>
        <item x="26"/>
        <item x="25"/>
        <item x="24"/>
        <item x="23"/>
        <item x="22"/>
        <item x="21"/>
        <item x="20"/>
        <item x="19"/>
        <item x="18"/>
        <item x="16"/>
        <item x="17"/>
        <item x="15"/>
        <item x="58"/>
        <item x="14"/>
        <item x="13"/>
        <item x="10"/>
        <item x="12"/>
        <item x="11"/>
        <item x="7"/>
        <item x="9"/>
        <item x="8"/>
        <item x="6"/>
        <item x="5"/>
        <item x="4"/>
        <item x="3"/>
        <item x="2"/>
        <item x="1"/>
        <item x="0"/>
        <item t="default"/>
      </items>
      <autoSortScope>
        <pivotArea dataOnly="0" outline="0" fieldPosition="0">
          <references count="1">
            <reference field="4294967294" count="1" selected="0">
              <x v="0"/>
            </reference>
          </references>
        </pivotArea>
      </autoSortScope>
    </pivotField>
    <pivotField showAll="0" sortType="descending"/>
    <pivotField showAll="0"/>
    <pivotField showAll="0">
      <items count="9">
        <item x="5"/>
        <item x="0"/>
        <item x="2"/>
        <item x="1"/>
        <item x="3"/>
        <item x="4"/>
        <item x="6"/>
        <item x="7"/>
        <item t="default"/>
      </items>
    </pivotField>
    <pivotField dataField="1" showAll="0"/>
    <pivotField showAll="0"/>
    <pivotField showAll="0"/>
    <pivotField showAll="0"/>
    <pivotField showAll="0"/>
    <pivotField showAll="0"/>
    <pivotField showAll="0">
      <items count="4">
        <item x="1"/>
        <item x="0"/>
        <item x="2"/>
        <item t="default"/>
      </items>
    </pivotField>
    <pivotField showAll="0"/>
    <pivotField showAll="0">
      <items count="6">
        <item x="3"/>
        <item x="2"/>
        <item x="0"/>
        <item x="1"/>
        <item x="4"/>
        <item t="default"/>
      </items>
    </pivotField>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items count="9">
        <item x="6"/>
        <item x="7"/>
        <item x="0"/>
        <item x="3"/>
        <item x="4"/>
        <item x="5"/>
        <item x="2"/>
        <item x="1"/>
        <item t="default"/>
      </items>
    </pivotField>
    <pivotField showAll="0"/>
  </pivotFields>
  <rowFields count="1">
    <field x="0"/>
  </rowFields>
  <rowItems count="11">
    <i>
      <x v="14"/>
    </i>
    <i>
      <x v="29"/>
    </i>
    <i>
      <x v="41"/>
    </i>
    <i>
      <x v="54"/>
    </i>
    <i>
      <x v="26"/>
    </i>
    <i>
      <x v="1"/>
    </i>
    <i>
      <x v="28"/>
    </i>
    <i>
      <x v="51"/>
    </i>
    <i>
      <x/>
    </i>
    <i>
      <x v="37"/>
    </i>
    <i t="grand">
      <x/>
    </i>
  </rowItems>
  <colFields count="1">
    <field x="-2"/>
  </colFields>
  <colItems count="2">
    <i>
      <x/>
    </i>
    <i i="1">
      <x v="1"/>
    </i>
  </colItems>
  <dataFields count="2">
    <dataField name="Avg of fast charging (KW)" fld="15" subtotal="average" baseField="0" baseItem="0"/>
    <dataField name="Avg of battery capacity (kWh)" fld="4" subtotal="average" baseField="0" baseItem="0"/>
  </dataFields>
  <formats count="1">
    <format dxfId="37">
      <pivotArea outline="0" collapsedLevelsAreSubtotals="1" fieldPosition="0"/>
    </format>
  </formats>
  <conditionalFormats count="1">
    <conditionalFormat priority="8">
      <pivotAreas count="1">
        <pivotArea type="data" collapsedLevelsAreSubtotals="1" fieldPosition="0">
          <references count="2">
            <reference field="4294967294" count="1" selected="0">
              <x v="1"/>
            </reference>
            <reference field="0" count="5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pivotAreas>
    </conditionalFormat>
  </conditionalFormats>
  <chartFormats count="6">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A11AB5-3CA7-4BD3-9E99-163F793A46B9}" name="PivotTable 6" cacheId="0" applyNumberFormats="0" applyBorderFormats="0" applyFontFormats="0" applyPatternFormats="0" applyAlignmentFormats="0" applyWidthHeightFormats="1" dataCaption="Values" updatedVersion="8" minRefreshableVersion="3" itemPrintTitles="1" createdVersion="8" indent="0" outline="1" outlineData="1" chartFormat="30" rowHeaderCaption="Brand_name">
  <location ref="X2:Y14" firstHeaderRow="1" firstDataRow="1" firstDataCol="1"/>
  <pivotFields count="28">
    <pivotField axis="axisRow" showAll="0" measureFilter="1" sortType="descending">
      <items count="60">
        <item x="0"/>
        <item x="1"/>
        <item x="2"/>
        <item x="3"/>
        <item x="4"/>
        <item x="5"/>
        <item x="6"/>
        <item x="8"/>
        <item x="9"/>
        <item x="7"/>
        <item x="11"/>
        <item x="12"/>
        <item x="10"/>
        <item x="13"/>
        <item x="14"/>
        <item x="58"/>
        <item x="15"/>
        <item x="17"/>
        <item x="16"/>
        <item x="18"/>
        <item x="19"/>
        <item x="20"/>
        <item x="21"/>
        <item x="22"/>
        <item x="23"/>
        <item x="24"/>
        <item x="25"/>
        <item x="26"/>
        <item x="27"/>
        <item x="28"/>
        <item x="29"/>
        <item x="30"/>
        <item x="32"/>
        <item x="33"/>
        <item x="34"/>
        <item x="35"/>
        <item x="31"/>
        <item x="36"/>
        <item x="37"/>
        <item x="38"/>
        <item x="39"/>
        <item x="40"/>
        <item x="41"/>
        <item x="42"/>
        <item x="43"/>
        <item x="44"/>
        <item x="45"/>
        <item x="46"/>
        <item x="47"/>
        <item x="48"/>
        <item x="49"/>
        <item x="50"/>
        <item x="51"/>
        <item x="52"/>
        <item x="53"/>
        <item x="54"/>
        <item x="55"/>
        <item x="56"/>
        <item x="57"/>
        <item t="default"/>
      </items>
      <autoSortScope>
        <pivotArea dataOnly="0" outline="0" fieldPosition="0">
          <references count="1">
            <reference field="4294967294" count="1" selected="0">
              <x v="0"/>
            </reference>
          </references>
        </pivotArea>
      </autoSortScope>
    </pivotField>
    <pivotField showAll="0" sortType="descending"/>
    <pivotField showAll="0"/>
    <pivotField showAll="0">
      <items count="9">
        <item x="5"/>
        <item x="0"/>
        <item x="2"/>
        <item x="1"/>
        <item x="3"/>
        <item x="4"/>
        <item x="6"/>
        <item x="7"/>
        <item t="default"/>
      </items>
    </pivotField>
    <pivotField showAll="0"/>
    <pivotField showAll="0"/>
    <pivotField showAll="0"/>
    <pivotField showAll="0"/>
    <pivotField showAll="0"/>
    <pivotField dataField="1" showAll="0"/>
    <pivotField showAll="0">
      <items count="4">
        <item x="1"/>
        <item x="0"/>
        <item x="2"/>
        <item t="default"/>
      </items>
    </pivotField>
    <pivotField showAll="0"/>
    <pivotField showAll="0">
      <items count="6">
        <item x="3"/>
        <item x="2"/>
        <item x="0"/>
        <item x="1"/>
        <item x="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items count="9">
        <item x="6"/>
        <item x="7"/>
        <item x="0"/>
        <item x="3"/>
        <item x="4"/>
        <item x="5"/>
        <item x="2"/>
        <item x="1"/>
        <item t="default"/>
      </items>
    </pivotField>
    <pivotField showAll="0"/>
  </pivotFields>
  <rowFields count="1">
    <field x="0"/>
  </rowFields>
  <rowItems count="12">
    <i>
      <x v="29"/>
    </i>
    <i>
      <x v="22"/>
    </i>
    <i>
      <x v="13"/>
    </i>
    <i>
      <x v="20"/>
    </i>
    <i>
      <x v="56"/>
    </i>
    <i>
      <x v="32"/>
    </i>
    <i>
      <x v="35"/>
    </i>
    <i>
      <x v="33"/>
    </i>
    <i>
      <x v="16"/>
    </i>
    <i>
      <x v="46"/>
    </i>
    <i>
      <x v="7"/>
    </i>
    <i t="grand">
      <x/>
    </i>
  </rowItems>
  <colItems count="1">
    <i/>
  </colItems>
  <dataFields count="1">
    <dataField name="Avg of efficiency wh (per_km)" fld="9" subtotal="average" baseField="0" baseItem="6" numFmtId="2"/>
  </dataFields>
  <formats count="1">
    <format dxfId="38">
      <pivotArea outline="0" collapsedLevelsAreSubtotals="1" fieldPosition="0"/>
    </format>
  </formats>
  <conditionalFormats count="1">
    <conditionalFormat priority="2">
      <pivotAreas count="1">
        <pivotArea type="data" collapsedLevelsAreSubtotals="1" fieldPosition="0">
          <references count="2">
            <reference field="4294967294" count="1" selected="0">
              <x v="0"/>
            </reference>
            <reference field="0" count="5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pivotAreas>
    </conditionalFormat>
  </conditionalFormats>
  <chartFormats count="4">
    <chartFormat chart="13"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7F3A5F-35F5-4521-B01E-903A757E70B0}" name="PivotTable 5" cacheId="0" applyNumberFormats="0" applyBorderFormats="0" applyFontFormats="0" applyPatternFormats="0" applyAlignmentFormats="0" applyWidthHeightFormats="1" dataCaption="Values" updatedVersion="8" minRefreshableVersion="3" itemPrintTitles="1" createdVersion="8" indent="0" outline="1" outlineData="1" chartFormat="25" rowHeaderCaption="Model_name">
  <location ref="S2:U13" firstHeaderRow="0" firstDataRow="1" firstDataCol="1"/>
  <pivotFields count="28">
    <pivotField showAll="0">
      <items count="60">
        <item x="0"/>
        <item x="1"/>
        <item x="2"/>
        <item x="3"/>
        <item x="4"/>
        <item x="5"/>
        <item x="6"/>
        <item x="8"/>
        <item x="9"/>
        <item x="7"/>
        <item x="11"/>
        <item x="12"/>
        <item x="10"/>
        <item x="13"/>
        <item x="14"/>
        <item x="58"/>
        <item x="15"/>
        <item x="17"/>
        <item x="16"/>
        <item x="18"/>
        <item x="19"/>
        <item x="20"/>
        <item x="21"/>
        <item x="22"/>
        <item x="23"/>
        <item x="24"/>
        <item x="25"/>
        <item x="26"/>
        <item x="27"/>
        <item x="28"/>
        <item x="29"/>
        <item x="30"/>
        <item x="32"/>
        <item x="33"/>
        <item x="34"/>
        <item x="35"/>
        <item x="31"/>
        <item x="36"/>
        <item x="37"/>
        <item x="38"/>
        <item x="39"/>
        <item x="40"/>
        <item x="41"/>
        <item x="42"/>
        <item x="43"/>
        <item x="44"/>
        <item x="45"/>
        <item x="46"/>
        <item x="47"/>
        <item x="48"/>
        <item x="49"/>
        <item x="50"/>
        <item x="51"/>
        <item x="52"/>
        <item x="53"/>
        <item x="54"/>
        <item x="55"/>
        <item x="56"/>
        <item x="57"/>
        <item t="default"/>
      </items>
    </pivotField>
    <pivotField axis="axisRow" showAll="0" measureFilter="1" sortType="descending">
      <items count="479">
        <item x="209"/>
        <item x="208"/>
        <item x="298"/>
        <item x="297"/>
        <item x="296"/>
        <item x="295"/>
        <item x="182"/>
        <item x="476"/>
        <item x="475"/>
        <item x="474"/>
        <item x="416"/>
        <item x="415"/>
        <item x="187"/>
        <item x="5"/>
        <item x="4"/>
        <item x="283"/>
        <item x="282"/>
        <item x="165"/>
        <item x="352"/>
        <item x="351"/>
        <item x="350"/>
        <item x="349"/>
        <item x="348"/>
        <item x="347"/>
        <item x="346"/>
        <item x="345"/>
        <item x="344"/>
        <item x="343"/>
        <item x="342"/>
        <item x="341"/>
        <item x="340"/>
        <item x="339"/>
        <item x="338"/>
        <item x="337"/>
        <item x="336"/>
        <item x="335"/>
        <item x="334"/>
        <item x="333"/>
        <item x="332"/>
        <item x="331"/>
        <item x="79"/>
        <item x="78"/>
        <item x="74"/>
        <item x="184"/>
        <item x="33"/>
        <item x="32"/>
        <item x="99"/>
        <item x="98"/>
        <item x="364"/>
        <item x="396"/>
        <item x="73"/>
        <item x="72"/>
        <item x="71"/>
        <item x="70"/>
        <item x="69"/>
        <item x="68"/>
        <item x="67"/>
        <item x="66"/>
        <item x="363"/>
        <item x="362"/>
        <item x="31"/>
        <item x="30"/>
        <item x="207"/>
        <item x="206"/>
        <item x="186"/>
        <item x="185"/>
        <item x="7"/>
        <item x="6"/>
        <item x="27"/>
        <item x="26"/>
        <item x="25"/>
        <item x="29"/>
        <item x="28"/>
        <item x="24"/>
        <item x="19"/>
        <item x="18"/>
        <item x="17"/>
        <item x="16"/>
        <item x="23"/>
        <item x="22"/>
        <item x="21"/>
        <item x="20"/>
        <item x="127"/>
        <item x="410"/>
        <item x="409"/>
        <item x="408"/>
        <item x="412"/>
        <item x="411"/>
        <item x="467"/>
        <item x="466"/>
        <item x="465"/>
        <item x="138"/>
        <item x="137"/>
        <item x="136"/>
        <item x="135"/>
        <item x="134"/>
        <item x="133"/>
        <item x="181"/>
        <item x="97"/>
        <item x="96"/>
        <item x="95"/>
        <item x="94"/>
        <item x="126"/>
        <item x="125"/>
        <item x="123"/>
        <item x="124"/>
        <item x="122"/>
        <item x="121"/>
        <item x="119"/>
        <item x="120"/>
        <item x="117"/>
        <item x="118"/>
        <item x="294"/>
        <item x="407"/>
        <item x="406"/>
        <item x="405"/>
        <item x="404"/>
        <item x="403"/>
        <item x="402"/>
        <item x="401"/>
        <item x="400"/>
        <item x="399"/>
        <item x="398"/>
        <item x="397"/>
        <item x="213"/>
        <item x="361"/>
        <item x="360"/>
        <item x="330"/>
        <item x="329"/>
        <item x="328"/>
        <item x="327"/>
        <item x="80"/>
        <item x="161"/>
        <item x="160"/>
        <item x="359"/>
        <item x="358"/>
        <item x="57"/>
        <item x="56"/>
        <item x="55"/>
        <item x="54"/>
        <item x="53"/>
        <item x="52"/>
        <item x="51"/>
        <item x="162"/>
        <item x="159"/>
        <item x="158"/>
        <item x="157"/>
        <item x="156"/>
        <item x="155"/>
        <item x="154"/>
        <item x="153"/>
        <item x="152"/>
        <item x="151"/>
        <item x="150"/>
        <item x="149"/>
        <item x="148"/>
        <item x="439"/>
        <item x="438"/>
        <item x="437"/>
        <item x="436"/>
        <item x="435"/>
        <item x="434"/>
        <item x="433"/>
        <item x="432"/>
        <item x="431"/>
        <item x="430"/>
        <item x="429"/>
        <item x="428"/>
        <item x="427"/>
        <item x="426"/>
        <item x="425"/>
        <item x="424"/>
        <item x="423"/>
        <item x="422"/>
        <item x="421"/>
        <item x="420"/>
        <item x="419"/>
        <item x="418"/>
        <item x="417"/>
        <item x="50"/>
        <item x="48"/>
        <item x="49"/>
        <item x="47"/>
        <item x="46"/>
        <item x="43"/>
        <item x="42"/>
        <item x="45"/>
        <item x="44"/>
        <item x="41"/>
        <item x="38"/>
        <item x="40"/>
        <item x="39"/>
        <item x="143"/>
        <item x="142"/>
        <item x="141"/>
        <item x="140"/>
        <item x="212"/>
        <item x="211"/>
        <item x="293"/>
        <item x="292"/>
        <item x="110"/>
        <item x="210"/>
        <item x="464"/>
        <item x="463"/>
        <item x="462"/>
        <item x="139"/>
        <item x="461"/>
        <item x="460"/>
        <item x="459"/>
        <item x="254"/>
        <item x="291"/>
        <item x="458"/>
        <item x="116"/>
        <item x="115"/>
        <item x="114"/>
        <item x="457"/>
        <item x="456"/>
        <item x="455"/>
        <item x="454"/>
        <item x="453"/>
        <item x="452"/>
        <item x="451"/>
        <item x="450"/>
        <item x="449"/>
        <item x="448"/>
        <item x="447"/>
        <item x="257"/>
        <item x="256"/>
        <item x="255"/>
        <item x="180"/>
        <item x="179"/>
        <item x="178"/>
        <item x="177"/>
        <item x="176"/>
        <item x="175"/>
        <item x="174"/>
        <item x="173"/>
        <item x="172"/>
        <item x="171"/>
        <item x="170"/>
        <item x="169"/>
        <item x="168"/>
        <item x="167"/>
        <item x="166"/>
        <item x="36"/>
        <item x="35"/>
        <item x="34"/>
        <item x="37"/>
        <item x="317"/>
        <item x="316"/>
        <item x="315"/>
        <item x="314"/>
        <item x="132"/>
        <item x="131"/>
        <item x="130"/>
        <item x="129"/>
        <item x="128"/>
        <item x="277"/>
        <item x="276"/>
        <item x="275"/>
        <item x="274"/>
        <item x="273"/>
        <item x="272"/>
        <item x="92"/>
        <item x="91"/>
        <item x="90"/>
        <item x="89"/>
        <item x="446"/>
        <item x="445"/>
        <item x="444"/>
        <item x="313"/>
        <item x="312"/>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376"/>
        <item x="375"/>
        <item x="374"/>
        <item x="373"/>
        <item x="372"/>
        <item x="371"/>
        <item x="370"/>
        <item x="369"/>
        <item x="193"/>
        <item x="192"/>
        <item x="191"/>
        <item x="368"/>
        <item x="367"/>
        <item x="366"/>
        <item x="365"/>
        <item x="190"/>
        <item x="189"/>
        <item x="188"/>
        <item x="271"/>
        <item x="270"/>
        <item x="269"/>
        <item x="268"/>
        <item x="267"/>
        <item x="266"/>
        <item x="147"/>
        <item x="146"/>
        <item x="145"/>
        <item x="443"/>
        <item x="442"/>
        <item x="441"/>
        <item x="440"/>
        <item x="88"/>
        <item x="87"/>
        <item x="86"/>
        <item x="85"/>
        <item x="84"/>
        <item x="83"/>
        <item x="82"/>
        <item x="81"/>
        <item x="311"/>
        <item x="310"/>
        <item x="309"/>
        <item x="284"/>
        <item x="308"/>
        <item x="307"/>
        <item x="306"/>
        <item x="305"/>
        <item x="304"/>
        <item x="303"/>
        <item x="302"/>
        <item x="301"/>
        <item x="300"/>
        <item x="299"/>
        <item x="144"/>
        <item x="65"/>
        <item x="64"/>
        <item x="63"/>
        <item x="62"/>
        <item x="61"/>
        <item x="60"/>
        <item x="199"/>
        <item x="198"/>
        <item x="265"/>
        <item x="264"/>
        <item x="290"/>
        <item x="289"/>
        <item x="263"/>
        <item x="262"/>
        <item x="261"/>
        <item x="164"/>
        <item x="288"/>
        <item x="287"/>
        <item x="217"/>
        <item x="216"/>
        <item x="113"/>
        <item x="112"/>
        <item x="111"/>
        <item x="183"/>
        <item x="414"/>
        <item x="413"/>
        <item x="101"/>
        <item x="100"/>
        <item x="77"/>
        <item x="76"/>
        <item x="75"/>
        <item x="102"/>
        <item x="378"/>
        <item x="377"/>
        <item x="163"/>
        <item x="59"/>
        <item x="58"/>
        <item x="286"/>
        <item x="285"/>
        <item x="281"/>
        <item x="280"/>
        <item x="279"/>
        <item x="278"/>
        <item x="196"/>
        <item x="195"/>
        <item x="194"/>
        <item x="260"/>
        <item x="259"/>
        <item x="258"/>
        <item x="15"/>
        <item x="14"/>
        <item x="13"/>
        <item x="12"/>
        <item x="11"/>
        <item x="10"/>
        <item x="9"/>
        <item x="8"/>
        <item x="473"/>
        <item x="472"/>
        <item x="471"/>
        <item x="215"/>
        <item x="214"/>
        <item x="3"/>
        <item x="2"/>
        <item x="109"/>
        <item x="108"/>
        <item x="107"/>
        <item x="1"/>
        <item x="0"/>
        <item x="106"/>
        <item x="105"/>
        <item x="104"/>
        <item x="103"/>
        <item x="357"/>
        <item x="356"/>
        <item x="355"/>
        <item x="205"/>
        <item x="204"/>
        <item x="326"/>
        <item x="325"/>
        <item x="354"/>
        <item x="353"/>
        <item x="203"/>
        <item x="202"/>
        <item x="201"/>
        <item x="200"/>
        <item x="324"/>
        <item x="323"/>
        <item x="322"/>
        <item x="93"/>
        <item x="321"/>
        <item x="320"/>
        <item x="319"/>
        <item x="318"/>
        <item x="197"/>
        <item x="470"/>
        <item x="469"/>
        <item x="468"/>
        <item x="395"/>
        <item x="394"/>
        <item x="393"/>
        <item x="392"/>
        <item x="391"/>
        <item x="390"/>
        <item x="389"/>
        <item x="388"/>
        <item x="387"/>
        <item x="386"/>
        <item x="385"/>
        <item x="384"/>
        <item x="383"/>
        <item x="382"/>
        <item x="381"/>
        <item x="380"/>
        <item x="379"/>
        <item x="477"/>
        <item t="default"/>
      </items>
      <autoSortScope>
        <pivotArea dataOnly="0" outline="0" fieldPosition="0">
          <references count="1">
            <reference field="4294967294" count="1" selected="0">
              <x v="1"/>
            </reference>
          </references>
        </pivotArea>
      </autoSortScope>
    </pivotField>
    <pivotField showAll="0"/>
    <pivotField showAll="0">
      <items count="9">
        <item x="5"/>
        <item x="0"/>
        <item x="2"/>
        <item x="1"/>
        <item x="3"/>
        <item x="4"/>
        <item x="6"/>
        <item x="7"/>
        <item t="default"/>
      </items>
    </pivotField>
    <pivotField dataField="1" showAll="0"/>
    <pivotField showAll="0"/>
    <pivotField showAll="0"/>
    <pivotField showAll="0"/>
    <pivotField showAll="0"/>
    <pivotField showAll="0"/>
    <pivotField showAll="0">
      <items count="4">
        <item x="1"/>
        <item x="0"/>
        <item x="2"/>
        <item t="default"/>
      </items>
    </pivotField>
    <pivotField dataField="1" showAll="0"/>
    <pivotField showAll="0">
      <items count="6">
        <item x="3"/>
        <item x="2"/>
        <item x="0"/>
        <item x="1"/>
        <item x="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items count="9">
        <item x="6"/>
        <item x="7"/>
        <item x="0"/>
        <item x="3"/>
        <item x="4"/>
        <item x="5"/>
        <item x="2"/>
        <item x="1"/>
        <item t="default"/>
      </items>
    </pivotField>
    <pivotField showAll="0"/>
  </pivotFields>
  <rowFields count="1">
    <field x="1"/>
  </rowFields>
  <rowItems count="11">
    <i>
      <x v="286"/>
    </i>
    <i>
      <x v="287"/>
    </i>
    <i>
      <x v="284"/>
    </i>
    <i>
      <x v="285"/>
    </i>
    <i>
      <x v="283"/>
    </i>
    <i>
      <x v="281"/>
    </i>
    <i>
      <x v="279"/>
    </i>
    <i>
      <x v="280"/>
    </i>
    <i>
      <x v="282"/>
    </i>
    <i>
      <x v="278"/>
    </i>
    <i t="grand">
      <x/>
    </i>
  </rowItems>
  <colFields count="1">
    <field x="-2"/>
  </colFields>
  <colItems count="2">
    <i>
      <x/>
    </i>
    <i i="1">
      <x v="1"/>
    </i>
  </colItems>
  <dataFields count="2">
    <dataField name="Min of battery_capacity_kWh" fld="4" subtotal="min" baseField="1" baseItem="281"/>
    <dataField name="Avg of range (km)" fld="11" subtotal="average" baseField="1" baseItem="280"/>
  </dataFields>
  <formats count="2">
    <format dxfId="40">
      <pivotArea outline="0" collapsedLevelsAreSubtotals="1" fieldPosition="0"/>
    </format>
    <format dxfId="39">
      <pivotArea collapsedLevelsAreSubtotals="1" fieldPosition="0">
        <references count="2">
          <reference field="4294967294" count="1" selected="0">
            <x v="0"/>
          </reference>
          <reference field="1" count="10">
            <x v="278"/>
            <x v="279"/>
            <x v="280"/>
            <x v="281"/>
            <x v="282"/>
            <x v="283"/>
            <x v="284"/>
            <x v="285"/>
            <x v="286"/>
            <x v="287"/>
          </reference>
        </references>
      </pivotArea>
    </format>
  </formats>
  <conditionalFormats count="1">
    <conditionalFormat priority="35">
      <pivotAreas count="1">
        <pivotArea type="data" outline="0" collapsedLevelsAreSubtotals="1" fieldPosition="0">
          <references count="1">
            <reference field="4294967294" count="1" selected="0">
              <x v="1"/>
            </reference>
          </references>
        </pivotArea>
      </pivotAreas>
    </conditionalFormat>
  </conditionalFormats>
  <chartFormats count="8">
    <chartFormat chart="12" format="10" series="1">
      <pivotArea type="data" outline="0" fieldPosition="0">
        <references count="1">
          <reference field="4294967294" count="1" selected="0">
            <x v="0"/>
          </reference>
        </references>
      </pivotArea>
    </chartFormat>
    <chartFormat chart="12" format="1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 chart="16" format="14" series="1">
      <pivotArea type="data" outline="0" fieldPosition="0">
        <references count="1">
          <reference field="4294967294" count="1" selected="0">
            <x v="0"/>
          </reference>
        </references>
      </pivotArea>
    </chartFormat>
    <chartFormat chart="16" format="15" series="1">
      <pivotArea type="data" outline="0" fieldPosition="0">
        <references count="1">
          <reference field="4294967294" count="1" selected="0">
            <x v="1"/>
          </reference>
        </references>
      </pivotArea>
    </chartFormat>
    <chartFormat chart="17" format="14" series="1">
      <pivotArea type="data" outline="0" fieldPosition="0">
        <references count="1">
          <reference field="4294967294" count="1" selected="0">
            <x v="0"/>
          </reference>
        </references>
      </pivotArea>
    </chartFormat>
    <chartFormat chart="17"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79C07C-DDD7-4BF1-84CB-F0D2959DBC13}" name="PivotTable 1"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1" rowHeaderCaption="Brand_name">
  <location ref="A2:B13" firstHeaderRow="1" firstDataRow="1" firstDataCol="1"/>
  <pivotFields count="28">
    <pivotField axis="axisRow" showAll="0" measureFilter="1" sortType="descending">
      <items count="60">
        <item x="0"/>
        <item x="1"/>
        <item x="2"/>
        <item x="3"/>
        <item x="4"/>
        <item x="5"/>
        <item x="6"/>
        <item x="8"/>
        <item x="9"/>
        <item x="7"/>
        <item x="11"/>
        <item x="12"/>
        <item x="10"/>
        <item x="13"/>
        <item x="14"/>
        <item x="58"/>
        <item x="15"/>
        <item x="17"/>
        <item x="16"/>
        <item x="18"/>
        <item x="19"/>
        <item x="20"/>
        <item x="21"/>
        <item x="22"/>
        <item x="23"/>
        <item x="24"/>
        <item x="25"/>
        <item x="26"/>
        <item x="27"/>
        <item x="28"/>
        <item x="29"/>
        <item x="30"/>
        <item x="32"/>
        <item x="33"/>
        <item x="34"/>
        <item x="35"/>
        <item x="31"/>
        <item x="36"/>
        <item x="37"/>
        <item x="38"/>
        <item x="39"/>
        <item x="40"/>
        <item x="41"/>
        <item x="42"/>
        <item x="43"/>
        <item x="44"/>
        <item x="45"/>
        <item x="46"/>
        <item x="47"/>
        <item x="48"/>
        <item x="49"/>
        <item x="50"/>
        <item x="51"/>
        <item x="52"/>
        <item x="53"/>
        <item x="54"/>
        <item x="55"/>
        <item x="56"/>
        <item x="57"/>
        <item t="default"/>
      </items>
      <autoSortScope>
        <pivotArea dataOnly="0" outline="0" fieldPosition="0">
          <references count="1">
            <reference field="4294967294" count="1" selected="0">
              <x v="0"/>
            </reference>
          </references>
        </pivotArea>
      </autoSortScope>
    </pivotField>
    <pivotField dataField="1" showAll="0" sortType="descending"/>
    <pivotField showAll="0"/>
    <pivotField showAll="0">
      <items count="9">
        <item x="5"/>
        <item x="0"/>
        <item x="2"/>
        <item x="1"/>
        <item x="3"/>
        <item x="4"/>
        <item x="6"/>
        <item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items count="6">
        <item x="3"/>
        <item x="2"/>
        <item x="0"/>
        <item x="1"/>
        <item x="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items count="9">
        <item x="6"/>
        <item x="7"/>
        <item x="0"/>
        <item x="3"/>
        <item x="4"/>
        <item x="5"/>
        <item x="2"/>
        <item x="1"/>
        <item t="default"/>
      </items>
    </pivotField>
    <pivotField showAll="0"/>
  </pivotFields>
  <rowFields count="1">
    <field x="0"/>
  </rowFields>
  <rowItems count="11">
    <i>
      <x v="35"/>
    </i>
    <i>
      <x v="4"/>
    </i>
    <i>
      <x v="44"/>
    </i>
    <i>
      <x v="54"/>
    </i>
    <i>
      <x v="16"/>
    </i>
    <i>
      <x v="5"/>
    </i>
    <i>
      <x v="42"/>
    </i>
    <i>
      <x v="55"/>
    </i>
    <i>
      <x v="49"/>
    </i>
    <i>
      <x v="6"/>
    </i>
    <i t="grand">
      <x/>
    </i>
  </rowItems>
  <colItems count="1">
    <i/>
  </colItems>
  <dataFields count="1">
    <dataField name="Count of model" fld="1" subtotal="count" baseField="0" baseItem="0"/>
  </dataFields>
  <formats count="1">
    <format dxfId="41">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9741D-C294-40B8-B74D-BE4B4F9A82BC}" name="PivotTable 8" cacheId="0" applyNumberFormats="0" applyBorderFormats="0" applyFontFormats="0" applyPatternFormats="0" applyAlignmentFormats="0" applyWidthHeightFormats="1" dataCaption="Values" updatedVersion="8" minRefreshableVersion="3" itemPrintTitles="1" createdVersion="8" indent="0" outline="1" outlineData="1" chartFormat="27" rowHeaderCaption="Model_name">
  <location ref="AF2:AH13" firstHeaderRow="0" firstDataRow="1" firstDataCol="1"/>
  <pivotFields count="28">
    <pivotField showAll="0">
      <items count="60">
        <item x="0"/>
        <item x="1"/>
        <item x="2"/>
        <item x="3"/>
        <item x="4"/>
        <item x="5"/>
        <item x="6"/>
        <item x="8"/>
        <item x="9"/>
        <item x="7"/>
        <item x="11"/>
        <item x="12"/>
        <item x="10"/>
        <item x="13"/>
        <item x="14"/>
        <item x="58"/>
        <item x="15"/>
        <item x="17"/>
        <item x="16"/>
        <item x="18"/>
        <item x="19"/>
        <item x="20"/>
        <item x="21"/>
        <item x="22"/>
        <item x="23"/>
        <item x="24"/>
        <item x="25"/>
        <item x="26"/>
        <item x="27"/>
        <item x="28"/>
        <item x="29"/>
        <item x="30"/>
        <item x="32"/>
        <item x="33"/>
        <item x="34"/>
        <item x="35"/>
        <item x="31"/>
        <item x="36"/>
        <item x="37"/>
        <item x="38"/>
        <item x="39"/>
        <item x="40"/>
        <item x="41"/>
        <item x="42"/>
        <item x="43"/>
        <item x="44"/>
        <item x="45"/>
        <item x="46"/>
        <item x="47"/>
        <item x="48"/>
        <item x="49"/>
        <item x="50"/>
        <item x="51"/>
        <item x="52"/>
        <item x="53"/>
        <item x="54"/>
        <item x="55"/>
        <item x="56"/>
        <item x="57"/>
        <item t="default"/>
      </items>
    </pivotField>
    <pivotField axis="axisRow" showAll="0" measureFilter="1" sortType="descending">
      <items count="479">
        <item x="209"/>
        <item x="208"/>
        <item x="298"/>
        <item x="297"/>
        <item x="296"/>
        <item x="295"/>
        <item x="182"/>
        <item x="476"/>
        <item x="475"/>
        <item x="474"/>
        <item x="416"/>
        <item x="415"/>
        <item x="187"/>
        <item x="5"/>
        <item x="4"/>
        <item x="283"/>
        <item x="282"/>
        <item x="165"/>
        <item x="352"/>
        <item x="351"/>
        <item x="350"/>
        <item x="349"/>
        <item x="348"/>
        <item x="347"/>
        <item x="346"/>
        <item x="345"/>
        <item x="344"/>
        <item x="343"/>
        <item x="342"/>
        <item x="341"/>
        <item x="340"/>
        <item x="339"/>
        <item x="338"/>
        <item x="337"/>
        <item x="336"/>
        <item x="335"/>
        <item x="334"/>
        <item x="333"/>
        <item x="332"/>
        <item x="331"/>
        <item x="79"/>
        <item x="78"/>
        <item x="74"/>
        <item x="184"/>
        <item x="33"/>
        <item x="32"/>
        <item x="99"/>
        <item x="98"/>
        <item x="364"/>
        <item x="396"/>
        <item x="73"/>
        <item x="72"/>
        <item x="71"/>
        <item x="70"/>
        <item x="69"/>
        <item x="68"/>
        <item x="67"/>
        <item x="66"/>
        <item x="363"/>
        <item x="362"/>
        <item x="31"/>
        <item x="30"/>
        <item x="207"/>
        <item x="206"/>
        <item x="186"/>
        <item x="185"/>
        <item x="7"/>
        <item x="6"/>
        <item x="27"/>
        <item x="26"/>
        <item x="25"/>
        <item x="29"/>
        <item x="28"/>
        <item x="24"/>
        <item x="19"/>
        <item x="18"/>
        <item x="17"/>
        <item x="16"/>
        <item x="23"/>
        <item x="22"/>
        <item x="21"/>
        <item x="20"/>
        <item x="127"/>
        <item x="410"/>
        <item x="409"/>
        <item x="408"/>
        <item x="412"/>
        <item x="411"/>
        <item x="467"/>
        <item x="466"/>
        <item x="465"/>
        <item x="138"/>
        <item x="137"/>
        <item x="136"/>
        <item x="135"/>
        <item x="134"/>
        <item x="133"/>
        <item x="181"/>
        <item x="97"/>
        <item x="96"/>
        <item x="95"/>
        <item x="94"/>
        <item x="126"/>
        <item x="125"/>
        <item x="123"/>
        <item x="124"/>
        <item x="122"/>
        <item x="121"/>
        <item x="119"/>
        <item x="120"/>
        <item x="117"/>
        <item x="118"/>
        <item x="294"/>
        <item x="407"/>
        <item x="406"/>
        <item x="405"/>
        <item x="404"/>
        <item x="403"/>
        <item x="402"/>
        <item x="401"/>
        <item x="400"/>
        <item x="399"/>
        <item x="398"/>
        <item x="397"/>
        <item x="213"/>
        <item x="361"/>
        <item x="360"/>
        <item x="330"/>
        <item x="329"/>
        <item x="328"/>
        <item x="327"/>
        <item x="80"/>
        <item x="161"/>
        <item x="160"/>
        <item x="359"/>
        <item x="358"/>
        <item x="57"/>
        <item x="56"/>
        <item x="55"/>
        <item x="54"/>
        <item x="53"/>
        <item x="52"/>
        <item x="51"/>
        <item x="162"/>
        <item x="159"/>
        <item x="158"/>
        <item x="157"/>
        <item x="156"/>
        <item x="155"/>
        <item x="154"/>
        <item x="153"/>
        <item x="152"/>
        <item x="151"/>
        <item x="150"/>
        <item x="149"/>
        <item x="148"/>
        <item x="439"/>
        <item x="438"/>
        <item x="437"/>
        <item x="436"/>
        <item x="435"/>
        <item x="434"/>
        <item x="433"/>
        <item x="432"/>
        <item x="431"/>
        <item x="430"/>
        <item x="429"/>
        <item x="428"/>
        <item x="427"/>
        <item x="426"/>
        <item x="425"/>
        <item x="424"/>
        <item x="423"/>
        <item x="422"/>
        <item x="421"/>
        <item x="420"/>
        <item x="419"/>
        <item x="418"/>
        <item x="417"/>
        <item x="50"/>
        <item x="48"/>
        <item x="49"/>
        <item x="47"/>
        <item x="46"/>
        <item x="43"/>
        <item x="42"/>
        <item x="45"/>
        <item x="44"/>
        <item x="41"/>
        <item x="38"/>
        <item x="40"/>
        <item x="39"/>
        <item x="143"/>
        <item x="142"/>
        <item x="141"/>
        <item x="140"/>
        <item x="212"/>
        <item x="211"/>
        <item x="293"/>
        <item x="292"/>
        <item x="110"/>
        <item x="210"/>
        <item x="464"/>
        <item x="463"/>
        <item x="462"/>
        <item x="139"/>
        <item x="461"/>
        <item x="460"/>
        <item x="459"/>
        <item x="254"/>
        <item x="291"/>
        <item x="458"/>
        <item x="116"/>
        <item x="115"/>
        <item x="114"/>
        <item x="457"/>
        <item x="456"/>
        <item x="455"/>
        <item x="454"/>
        <item x="453"/>
        <item x="452"/>
        <item x="451"/>
        <item x="450"/>
        <item x="449"/>
        <item x="448"/>
        <item x="447"/>
        <item x="257"/>
        <item x="256"/>
        <item x="255"/>
        <item x="180"/>
        <item x="179"/>
        <item x="178"/>
        <item x="177"/>
        <item x="176"/>
        <item x="175"/>
        <item x="174"/>
        <item x="173"/>
        <item x="172"/>
        <item x="171"/>
        <item x="170"/>
        <item x="169"/>
        <item x="168"/>
        <item x="167"/>
        <item x="166"/>
        <item x="36"/>
        <item x="35"/>
        <item x="34"/>
        <item x="37"/>
        <item x="317"/>
        <item x="316"/>
        <item x="315"/>
        <item x="314"/>
        <item x="132"/>
        <item x="131"/>
        <item x="130"/>
        <item x="129"/>
        <item x="128"/>
        <item x="277"/>
        <item x="276"/>
        <item x="275"/>
        <item x="274"/>
        <item x="273"/>
        <item x="272"/>
        <item x="92"/>
        <item x="91"/>
        <item x="90"/>
        <item x="89"/>
        <item x="446"/>
        <item x="445"/>
        <item x="444"/>
        <item x="313"/>
        <item x="312"/>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376"/>
        <item x="375"/>
        <item x="374"/>
        <item x="373"/>
        <item x="372"/>
        <item x="371"/>
        <item x="370"/>
        <item x="369"/>
        <item x="193"/>
        <item x="192"/>
        <item x="191"/>
        <item x="368"/>
        <item x="367"/>
        <item x="366"/>
        <item x="365"/>
        <item x="190"/>
        <item x="189"/>
        <item x="188"/>
        <item x="271"/>
        <item x="270"/>
        <item x="269"/>
        <item x="268"/>
        <item x="267"/>
        <item x="266"/>
        <item x="147"/>
        <item x="146"/>
        <item x="145"/>
        <item x="443"/>
        <item x="442"/>
        <item x="441"/>
        <item x="440"/>
        <item x="88"/>
        <item x="87"/>
        <item x="86"/>
        <item x="85"/>
        <item x="84"/>
        <item x="83"/>
        <item x="82"/>
        <item x="81"/>
        <item x="311"/>
        <item x="310"/>
        <item x="309"/>
        <item x="284"/>
        <item x="308"/>
        <item x="307"/>
        <item x="306"/>
        <item x="305"/>
        <item x="304"/>
        <item x="303"/>
        <item x="302"/>
        <item x="301"/>
        <item x="300"/>
        <item x="299"/>
        <item x="144"/>
        <item x="65"/>
        <item x="64"/>
        <item x="63"/>
        <item x="62"/>
        <item x="61"/>
        <item x="60"/>
        <item x="199"/>
        <item x="198"/>
        <item x="265"/>
        <item x="264"/>
        <item x="290"/>
        <item x="289"/>
        <item x="263"/>
        <item x="262"/>
        <item x="261"/>
        <item x="164"/>
        <item x="288"/>
        <item x="287"/>
        <item x="217"/>
        <item x="216"/>
        <item x="113"/>
        <item x="112"/>
        <item x="111"/>
        <item x="183"/>
        <item x="414"/>
        <item x="413"/>
        <item x="101"/>
        <item x="100"/>
        <item x="77"/>
        <item x="76"/>
        <item x="75"/>
        <item x="102"/>
        <item x="378"/>
        <item x="377"/>
        <item x="163"/>
        <item x="59"/>
        <item x="58"/>
        <item x="286"/>
        <item x="285"/>
        <item x="281"/>
        <item x="280"/>
        <item x="279"/>
        <item x="278"/>
        <item x="196"/>
        <item x="195"/>
        <item x="194"/>
        <item x="260"/>
        <item x="259"/>
        <item x="258"/>
        <item x="15"/>
        <item x="14"/>
        <item x="13"/>
        <item x="12"/>
        <item x="11"/>
        <item x="10"/>
        <item x="9"/>
        <item x="8"/>
        <item x="473"/>
        <item x="472"/>
        <item x="471"/>
        <item x="215"/>
        <item x="214"/>
        <item x="3"/>
        <item x="2"/>
        <item x="109"/>
        <item x="108"/>
        <item x="107"/>
        <item x="1"/>
        <item x="0"/>
        <item x="106"/>
        <item x="105"/>
        <item x="104"/>
        <item x="103"/>
        <item x="357"/>
        <item x="356"/>
        <item x="355"/>
        <item x="205"/>
        <item x="204"/>
        <item x="326"/>
        <item x="325"/>
        <item x="354"/>
        <item x="353"/>
        <item x="203"/>
        <item x="202"/>
        <item x="201"/>
        <item x="200"/>
        <item x="324"/>
        <item x="323"/>
        <item x="322"/>
        <item x="93"/>
        <item x="321"/>
        <item x="320"/>
        <item x="319"/>
        <item x="318"/>
        <item x="197"/>
        <item x="470"/>
        <item x="469"/>
        <item x="468"/>
        <item x="395"/>
        <item x="394"/>
        <item x="393"/>
        <item x="392"/>
        <item x="391"/>
        <item x="390"/>
        <item x="389"/>
        <item x="388"/>
        <item x="387"/>
        <item x="386"/>
        <item x="385"/>
        <item x="384"/>
        <item x="383"/>
        <item x="382"/>
        <item x="381"/>
        <item x="380"/>
        <item x="379"/>
        <item x="477"/>
        <item t="default"/>
      </items>
      <autoSortScope>
        <pivotArea dataOnly="0" outline="0" fieldPosition="0">
          <references count="1">
            <reference field="4294967294" count="1" selected="0">
              <x v="0"/>
            </reference>
          </references>
        </pivotArea>
      </autoSortScope>
    </pivotField>
    <pivotField showAll="0"/>
    <pivotField showAll="0">
      <items count="9">
        <item x="5"/>
        <item x="0"/>
        <item x="2"/>
        <item x="1"/>
        <item x="3"/>
        <item x="4"/>
        <item x="6"/>
        <item x="7"/>
        <item t="default"/>
      </items>
    </pivotField>
    <pivotField showAll="0"/>
    <pivotField showAll="0"/>
    <pivotField showAll="0"/>
    <pivotField showAll="0"/>
    <pivotField dataField="1" showAll="0"/>
    <pivotField showAll="0"/>
    <pivotField showAll="0">
      <items count="4">
        <item x="1"/>
        <item x="0"/>
        <item x="2"/>
        <item t="default"/>
      </items>
    </pivotField>
    <pivotField showAll="0"/>
    <pivotField showAll="0">
      <items count="6">
        <item x="3"/>
        <item x="2"/>
        <item x="0"/>
        <item x="1"/>
        <item x="4"/>
        <item t="default"/>
      </items>
    </pivotField>
    <pivotField dataField="1"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items count="9">
        <item x="6"/>
        <item x="7"/>
        <item x="0"/>
        <item x="3"/>
        <item x="4"/>
        <item x="5"/>
        <item x="2"/>
        <item x="1"/>
        <item t="default"/>
      </items>
    </pivotField>
    <pivotField showAll="0"/>
  </pivotFields>
  <rowFields count="1">
    <field x="1"/>
  </rowFields>
  <rowItems count="11">
    <i>
      <x v="201"/>
    </i>
    <i>
      <x v="197"/>
    </i>
    <i>
      <x v="22"/>
    </i>
    <i>
      <x v="23"/>
    </i>
    <i>
      <x v="407"/>
    </i>
    <i>
      <x v="209"/>
    </i>
    <i>
      <x v="20"/>
    </i>
    <i>
      <x v="19"/>
    </i>
    <i>
      <x v="21"/>
    </i>
    <i>
      <x v="180"/>
    </i>
    <i t="grand">
      <x/>
    </i>
  </rowItems>
  <colFields count="1">
    <field x="-2"/>
  </colFields>
  <colItems count="2">
    <i>
      <x/>
    </i>
    <i i="1">
      <x v="1"/>
    </i>
  </colItems>
  <dataFields count="2">
    <dataField name="Sum of Motor Power (Nm) " fld="8" baseField="0" baseItem="0"/>
    <dataField name="Avg of acceleration " fld="13" subtotal="average" baseField="1" baseItem="19"/>
  </dataFields>
  <formats count="1">
    <format dxfId="42">
      <pivotArea outline="0" collapsedLevelsAreSubtotals="1" fieldPosition="0"/>
    </format>
  </formats>
  <conditionalFormats count="2">
    <conditionalFormat priority="4">
      <pivotAreas count="1">
        <pivotArea type="data" collapsedLevelsAreSubtotals="1" fieldPosition="0">
          <references count="2">
            <reference field="4294967294" count="1" selected="0">
              <x v="0"/>
            </reference>
            <reference field="1" count="10">
              <x v="19"/>
              <x v="20"/>
              <x v="21"/>
              <x v="22"/>
              <x v="23"/>
              <x v="180"/>
              <x v="197"/>
              <x v="201"/>
              <x v="209"/>
              <x v="407"/>
            </reference>
          </references>
        </pivotArea>
      </pivotAreas>
    </conditionalFormat>
    <conditionalFormat priority="1">
      <pivotAreas count="1">
        <pivotArea type="data" collapsedLevelsAreSubtotals="1" fieldPosition="0">
          <references count="2">
            <reference field="4294967294" count="1" selected="0">
              <x v="1"/>
            </reference>
            <reference field="1" count="10">
              <x v="19"/>
              <x v="20"/>
              <x v="21"/>
              <x v="22"/>
              <x v="23"/>
              <x v="180"/>
              <x v="197"/>
              <x v="201"/>
              <x v="209"/>
              <x v="407"/>
            </reference>
          </references>
        </pivotArea>
      </pivotAreas>
    </conditionalFormat>
  </conditionalFormats>
  <chartFormats count="6">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A8AB8A-8158-47B8-BEDF-1429C6B5FD59}" name="PivotTable 2" cacheId="0" applyNumberFormats="0" applyBorderFormats="0" applyFontFormats="0" applyPatternFormats="0" applyAlignmentFormats="0" applyWidthHeightFormats="1" dataCaption="Values" updatedVersion="8" minRefreshableVersion="3" showDrill="0" itemPrintTitles="1" createdVersion="8" indent="0" showHeaders="0" outline="1" outlineData="1" chartFormat="17" rowHeaderCaption="Brand_name">
  <location ref="F2:H13" firstHeaderRow="0" firstDataRow="1" firstDataCol="1"/>
  <pivotFields count="28">
    <pivotField axis="axisRow" showAll="0" measureFilter="1" sortType="descending">
      <items count="60">
        <item x="57"/>
        <item x="56"/>
        <item x="55"/>
        <item x="54"/>
        <item x="53"/>
        <item x="52"/>
        <item x="51"/>
        <item x="50"/>
        <item x="49"/>
        <item x="48"/>
        <item x="47"/>
        <item x="46"/>
        <item x="45"/>
        <item x="44"/>
        <item x="43"/>
        <item x="42"/>
        <item x="41"/>
        <item x="40"/>
        <item x="39"/>
        <item x="38"/>
        <item x="37"/>
        <item x="36"/>
        <item x="31"/>
        <item x="35"/>
        <item x="34"/>
        <item x="33"/>
        <item x="32"/>
        <item x="30"/>
        <item x="29"/>
        <item x="28"/>
        <item x="27"/>
        <item x="26"/>
        <item x="25"/>
        <item x="24"/>
        <item x="23"/>
        <item x="22"/>
        <item x="21"/>
        <item x="20"/>
        <item x="19"/>
        <item x="18"/>
        <item x="16"/>
        <item x="17"/>
        <item x="15"/>
        <item x="58"/>
        <item x="14"/>
        <item x="13"/>
        <item x="10"/>
        <item x="12"/>
        <item x="11"/>
        <item x="7"/>
        <item x="9"/>
        <item x="8"/>
        <item x="6"/>
        <item x="5"/>
        <item x="4"/>
        <item x="3"/>
        <item x="2"/>
        <item x="1"/>
        <item x="0"/>
        <item t="default"/>
      </items>
      <autoSortScope>
        <pivotArea dataOnly="0" outline="0" fieldPosition="0">
          <references count="1">
            <reference field="4294967294" count="1" selected="0">
              <x v="0"/>
            </reference>
          </references>
        </pivotArea>
      </autoSortScope>
    </pivotField>
    <pivotField showAll="0" sortType="descending"/>
    <pivotField showAll="0"/>
    <pivotField showAll="0">
      <items count="9">
        <item x="5"/>
        <item x="0"/>
        <item x="2"/>
        <item x="1"/>
        <item x="3"/>
        <item x="4"/>
        <item x="6"/>
        <item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items count="6">
        <item x="3"/>
        <item x="2"/>
        <item x="0"/>
        <item x="1"/>
        <item x="4"/>
        <item t="default"/>
      </items>
    </pivotField>
    <pivotField showAll="0"/>
    <pivotField showAll="0"/>
    <pivotField dataField="1"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showAll="0">
      <items count="9">
        <item x="6"/>
        <item x="7"/>
        <item x="0"/>
        <item x="3"/>
        <item x="4"/>
        <item x="5"/>
        <item x="2"/>
        <item x="1"/>
        <item t="default"/>
      </items>
    </pivotField>
    <pivotField showAll="0"/>
  </pivotFields>
  <rowFields count="1">
    <field x="0"/>
  </rowFields>
  <rowItems count="11">
    <i>
      <x v="14"/>
    </i>
    <i>
      <x v="23"/>
    </i>
    <i>
      <x v="54"/>
    </i>
    <i>
      <x v="4"/>
    </i>
    <i>
      <x v="53"/>
    </i>
    <i>
      <x v="3"/>
    </i>
    <i>
      <x v="33"/>
    </i>
    <i>
      <x v="9"/>
    </i>
    <i>
      <x v="42"/>
    </i>
    <i>
      <x v="37"/>
    </i>
    <i t="grand">
      <x/>
    </i>
  </rowItems>
  <colFields count="1">
    <field x="-2"/>
  </colFields>
  <colItems count="2">
    <i>
      <x/>
    </i>
    <i i="1">
      <x v="1"/>
    </i>
  </colItems>
  <dataFields count="2">
    <dataField name="Sum of fast charging (KW)" fld="15" baseField="0" baseItem="11"/>
    <dataField name="Avg of fast charging (KW)" fld="15" subtotal="average" baseField="0" baseItem="5"/>
  </dataFields>
  <formats count="4">
    <format dxfId="46">
      <pivotArea outline="0" collapsedLevelsAreSubtotals="1" fieldPosition="0"/>
    </format>
    <format dxfId="45">
      <pivotArea collapsedLevelsAreSubtotals="1" fieldPosition="0">
        <references count="2">
          <reference field="4294967294" count="1" selected="0">
            <x v="1"/>
          </reference>
          <reference field="0" count="1">
            <x v="54"/>
          </reference>
        </references>
      </pivotArea>
    </format>
    <format dxfId="44">
      <pivotArea collapsedLevelsAreSubtotals="1" fieldPosition="0">
        <references count="2">
          <reference field="4294967294" count="1" selected="0">
            <x v="1"/>
          </reference>
          <reference field="0" count="1">
            <x v="54"/>
          </reference>
        </references>
      </pivotArea>
    </format>
    <format dxfId="43">
      <pivotArea collapsedLevelsAreSubtotals="1" fieldPosition="0">
        <references count="2">
          <reference field="4294967294" count="1" selected="0">
            <x v="1"/>
          </reference>
          <reference field="0" count="1">
            <x v="14"/>
          </reference>
        </references>
      </pivotArea>
    </format>
  </formats>
  <conditionalFormats count="3">
    <conditionalFormat priority="29">
      <pivotAreas count="1">
        <pivotArea type="data" collapsedLevelsAreSubtotals="1" fieldPosition="0">
          <references count="2">
            <reference field="4294967294" count="1" selected="0">
              <x v="1"/>
            </reference>
            <reference field="0" count="10">
              <x v="0"/>
              <x v="1"/>
              <x v="14"/>
              <x v="26"/>
              <x v="28"/>
              <x v="29"/>
              <x v="37"/>
              <x v="41"/>
              <x v="51"/>
              <x v="54"/>
            </reference>
          </references>
        </pivotArea>
      </pivotAreas>
    </conditionalFormat>
    <conditionalFormat priority="25">
      <pivotAreas count="1">
        <pivotArea type="data" collapsedLevelsAreSubtotals="1" fieldPosition="0">
          <references count="2">
            <reference field="4294967294" count="1" selected="0">
              <x v="0"/>
            </reference>
            <reference field="0" count="5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reference>
          </references>
        </pivotArea>
      </pivotAreas>
    </conditionalFormat>
    <conditionalFormat priority="3">
      <pivotAreas count="1">
        <pivotArea type="data" collapsedLevelsAreSubtotals="1" fieldPosition="0">
          <references count="2">
            <reference field="4294967294" count="1" selected="0">
              <x v="1"/>
            </reference>
            <reference field="0" count="10">
              <x v="3"/>
              <x v="4"/>
              <x v="9"/>
              <x v="14"/>
              <x v="23"/>
              <x v="33"/>
              <x v="37"/>
              <x v="42"/>
              <x v="53"/>
              <x v="54"/>
            </reference>
          </references>
        </pivotArea>
      </pivotAreas>
    </conditionalFormat>
  </conditionalFormat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EFE4AC-DAF1-4C22-88D1-53280CBCE1C7}" name="PivotTable 4" cacheId="0" applyNumberFormats="0" applyBorderFormats="0" applyFontFormats="0" applyPatternFormats="0" applyAlignmentFormats="0" applyWidthHeightFormats="1" dataCaption="Values" updatedVersion="8" minRefreshableVersion="3" itemPrintTitles="1" createdVersion="8" indent="0" outline="1" outlineData="1" chartFormat="34" rowHeaderCaption="Brand_name">
  <location ref="N2:O45" firstHeaderRow="1" firstDataRow="1" firstDataCol="1"/>
  <pivotFields count="28">
    <pivotField axis="axisRow" showAll="0" measureFilter="1" sortType="descending">
      <items count="60">
        <item x="0"/>
        <item x="1"/>
        <item x="2"/>
        <item x="3"/>
        <item x="4"/>
        <item x="5"/>
        <item x="6"/>
        <item x="8"/>
        <item x="9"/>
        <item x="7"/>
        <item x="11"/>
        <item x="12"/>
        <item x="10"/>
        <item x="13"/>
        <item x="14"/>
        <item x="58"/>
        <item x="15"/>
        <item x="17"/>
        <item x="16"/>
        <item x="18"/>
        <item x="19"/>
        <item x="20"/>
        <item x="21"/>
        <item x="22"/>
        <item x="23"/>
        <item x="24"/>
        <item x="25"/>
        <item x="26"/>
        <item x="27"/>
        <item x="28"/>
        <item x="29"/>
        <item x="30"/>
        <item x="32"/>
        <item x="33"/>
        <item x="34"/>
        <item x="35"/>
        <item x="31"/>
        <item x="36"/>
        <item x="37"/>
        <item x="38"/>
        <item x="39"/>
        <item x="40"/>
        <item x="41"/>
        <item x="42"/>
        <item x="43"/>
        <item x="44"/>
        <item x="45"/>
        <item x="46"/>
        <item x="47"/>
        <item x="48"/>
        <item x="49"/>
        <item x="50"/>
        <item x="51"/>
        <item x="52"/>
        <item x="53"/>
        <item x="54"/>
        <item x="55"/>
        <item x="56"/>
        <item x="57"/>
        <item t="default"/>
      </items>
      <autoSortScope>
        <pivotArea dataOnly="0" outline="0" fieldPosition="0">
          <references count="1">
            <reference field="4294967294" count="1" selected="0">
              <x v="0"/>
            </reference>
          </references>
        </pivotArea>
      </autoSortScope>
    </pivotField>
    <pivotField showAll="0" sortType="descending"/>
    <pivotField showAll="0"/>
    <pivotField showAll="0">
      <items count="9">
        <item x="5"/>
        <item x="0"/>
        <item x="2"/>
        <item x="1"/>
        <item x="3"/>
        <item x="4"/>
        <item x="6"/>
        <item x="7"/>
        <item t="default"/>
      </items>
    </pivotField>
    <pivotField showAll="0"/>
    <pivotField showAll="0"/>
    <pivotField showAll="0"/>
    <pivotField showAll="0"/>
    <pivotField showAll="0"/>
    <pivotField showAll="0"/>
    <pivotField showAll="0">
      <items count="4">
        <item x="1"/>
        <item x="0"/>
        <item x="2"/>
        <item t="default"/>
      </items>
    </pivotField>
    <pivotField showAll="0"/>
    <pivotField showAll="0">
      <items count="6">
        <item x="3"/>
        <item x="2"/>
        <item x="0"/>
        <item x="1"/>
        <item x="4"/>
        <item t="default"/>
      </items>
    </pivotField>
    <pivotField showAll="0"/>
    <pivotField showAll="0"/>
    <pivotField showAll="0"/>
    <pivotField showAll="0">
      <items count="5">
        <item x="3"/>
        <item x="2"/>
        <item x="1"/>
        <item x="0"/>
        <item t="default"/>
      </items>
    </pivotField>
    <pivotField showAll="0"/>
    <pivotField showAll="0"/>
    <pivotField showAll="0"/>
    <pivotField showAll="0"/>
    <pivotField showAll="0"/>
    <pivotField showAll="0"/>
    <pivotField showAll="0"/>
    <pivotField showAll="0"/>
    <pivotField showAll="0"/>
    <pivotField axis="axisRow" dataField="1" showAll="0">
      <items count="9">
        <item x="6"/>
        <item x="7"/>
        <item x="0"/>
        <item x="3"/>
        <item x="4"/>
        <item x="5"/>
        <item x="2"/>
        <item x="1"/>
        <item t="default"/>
      </items>
    </pivotField>
    <pivotField showAll="0"/>
  </pivotFields>
  <rowFields count="2">
    <field x="0"/>
    <field x="26"/>
  </rowFields>
  <rowItems count="43">
    <i>
      <x v="35"/>
    </i>
    <i r="1">
      <x v="4"/>
    </i>
    <i r="1">
      <x v="5"/>
    </i>
    <i r="1">
      <x v="7"/>
    </i>
    <i>
      <x v="4"/>
    </i>
    <i r="1">
      <x v="3"/>
    </i>
    <i r="1">
      <x v="4"/>
    </i>
    <i r="1">
      <x v="6"/>
    </i>
    <i r="1">
      <x v="7"/>
    </i>
    <i>
      <x v="44"/>
    </i>
    <i r="1">
      <x v="4"/>
    </i>
    <i r="1">
      <x v="6"/>
    </i>
    <i r="1">
      <x v="7"/>
    </i>
    <i>
      <x v="54"/>
    </i>
    <i r="1">
      <x v="2"/>
    </i>
    <i r="1">
      <x v="3"/>
    </i>
    <i r="1">
      <x v="5"/>
    </i>
    <i r="1">
      <x v="6"/>
    </i>
    <i r="1">
      <x v="7"/>
    </i>
    <i>
      <x v="16"/>
    </i>
    <i r="1">
      <x v="3"/>
    </i>
    <i r="1">
      <x v="5"/>
    </i>
    <i r="1">
      <x v="7"/>
    </i>
    <i>
      <x v="5"/>
    </i>
    <i r="1">
      <x v="3"/>
    </i>
    <i r="1">
      <x v="4"/>
    </i>
    <i r="1">
      <x v="6"/>
    </i>
    <i r="1">
      <x v="7"/>
    </i>
    <i>
      <x v="42"/>
    </i>
    <i r="1">
      <x v="2"/>
    </i>
    <i r="1">
      <x v="5"/>
    </i>
    <i r="1">
      <x v="6"/>
    </i>
    <i r="1">
      <x v="7"/>
    </i>
    <i>
      <x v="55"/>
    </i>
    <i r="1">
      <x v="3"/>
    </i>
    <i r="1">
      <x v="7"/>
    </i>
    <i>
      <x v="49"/>
    </i>
    <i r="1">
      <x v="7"/>
    </i>
    <i>
      <x v="6"/>
    </i>
    <i r="1">
      <x v="2"/>
    </i>
    <i r="1">
      <x v="4"/>
    </i>
    <i r="1">
      <x v="7"/>
    </i>
    <i t="grand">
      <x/>
    </i>
  </rowItems>
  <colItems count="1">
    <i/>
  </colItems>
  <dataFields count="1">
    <dataField name="Count of body_type by Brands" fld="26" subtotal="count" baseField="0" baseItem="0"/>
  </dataFields>
  <formats count="7">
    <format dxfId="53">
      <pivotArea outline="0" collapsedLevelsAreSubtotals="1" fieldPosition="0"/>
    </format>
    <format dxfId="52">
      <pivotArea dataOnly="0" fieldPosition="0">
        <references count="1">
          <reference field="26" count="4">
            <x v="3"/>
            <x v="4"/>
            <x v="6"/>
            <x v="7"/>
          </reference>
        </references>
      </pivotArea>
    </format>
    <format dxfId="51">
      <pivotArea dataOnly="0" labelOnly="1" fieldPosition="0">
        <references count="2">
          <reference field="0" count="1" selected="0">
            <x v="42"/>
          </reference>
          <reference field="26" count="2">
            <x v="2"/>
            <x v="5"/>
          </reference>
        </references>
      </pivotArea>
    </format>
    <format dxfId="50">
      <pivotArea dataOnly="0" labelOnly="1" fieldPosition="0">
        <references count="2">
          <reference field="0" count="1" selected="0">
            <x v="54"/>
          </reference>
          <reference field="26" count="1">
            <x v="2"/>
          </reference>
        </references>
      </pivotArea>
    </format>
    <format dxfId="49">
      <pivotArea dataOnly="0" labelOnly="1" fieldPosition="0">
        <references count="2">
          <reference field="0" count="1" selected="0">
            <x v="54"/>
          </reference>
          <reference field="26" count="1">
            <x v="5"/>
          </reference>
        </references>
      </pivotArea>
    </format>
    <format dxfId="48">
      <pivotArea dataOnly="0" labelOnly="1" fieldPosition="0">
        <references count="2">
          <reference field="0" count="1" selected="0">
            <x v="35"/>
          </reference>
          <reference field="26" count="1">
            <x v="5"/>
          </reference>
        </references>
      </pivotArea>
    </format>
    <format dxfId="47">
      <pivotArea dataOnly="0" labelOnly="1" fieldPosition="0">
        <references count="2">
          <reference field="0" count="1" selected="0">
            <x v="6"/>
          </reference>
          <reference field="26" count="1">
            <x v="2"/>
          </reference>
        </references>
      </pivotArea>
    </format>
  </formats>
  <chartFormats count="2">
    <chartFormat chart="24" format="5"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F840331-397E-49EF-84DA-51410250981B}" autoFormatId="16" applyNumberFormats="0" applyBorderFormats="0" applyFontFormats="0" applyPatternFormats="0" applyAlignmentFormats="0" applyWidthHeightFormats="0">
  <queryTableRefresh nextId="30">
    <queryTableFields count="28">
      <queryTableField id="1" name="brand" tableColumnId="1"/>
      <queryTableField id="2" name="model" tableColumnId="2"/>
      <queryTableField id="3" name="top_speed_kmh" tableColumnId="3"/>
      <queryTableField id="26" dataBound="0" tableColumnId="26"/>
      <queryTableField id="4" name="battery_capacity_kWh" tableColumnId="4"/>
      <queryTableField id="23" dataBound="0" tableColumnId="23"/>
      <queryTableField id="5" name="battery_type" tableColumnId="5"/>
      <queryTableField id="6" name="number_of_cells" tableColumnId="6"/>
      <queryTableField id="7" name="torque_nm" tableColumnId="7"/>
      <queryTableField id="8" name="efficiency_wh_per_km" tableColumnId="8"/>
      <queryTableField id="24" dataBound="0" tableColumnId="24"/>
      <queryTableField id="9" name="range_km" tableColumnId="9"/>
      <queryTableField id="25" dataBound="0" tableColumnId="25"/>
      <queryTableField id="10" name="acceleration_0_100_s" tableColumnId="10"/>
      <queryTableField id="28" dataBound="0" tableColumnId="28"/>
      <queryTableField id="11" name="fast_charging_power_kw_dc" tableColumnId="11"/>
      <queryTableField id="27" dataBound="0" tableColumnId="27"/>
      <queryTableField id="12" name="fast_charge_port" tableColumnId="12"/>
      <queryTableField id="13" name="towing_capacity_kg" tableColumnId="13"/>
      <queryTableField id="14" name="cargo_volume_l" tableColumnId="14"/>
      <queryTableField id="15" name="seats" tableColumnId="15"/>
      <queryTableField id="16" name="drivetrain" tableColumnId="16"/>
      <queryTableField id="17" name="segment" tableColumnId="17"/>
      <queryTableField id="18" name="length_mm" tableColumnId="18"/>
      <queryTableField id="19" name="width_mm" tableColumnId="19"/>
      <queryTableField id="20" name="height_mm" tableColumnId="20"/>
      <queryTableField id="21" name="car_body_type" tableColumnId="21"/>
      <queryTableField id="22" name="source_url"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21BD0E5-71D4-48A0-942C-79483B5F9C80}" sourceName="brand">
  <pivotTables>
    <pivotTable tabId="8" name="PivotTable 8"/>
    <pivotTable tabId="8" name="PivotTable 1"/>
    <pivotTable tabId="8" name="PivotTable 2"/>
    <pivotTable tabId="8" name="PivotTable 5"/>
    <pivotTable tabId="8" name="PivotTable 3"/>
    <pivotTable tabId="8" name="PivotTable 4"/>
    <pivotTable tabId="8" name="PivotTable 6"/>
    <pivotTable tabId="8" name="PivotTable 7"/>
  </pivotTables>
  <data>
    <tabular pivotCacheId="1193688160">
      <items count="59">
        <i x="0" s="1"/>
        <i x="1" s="1"/>
        <i x="2" s="1"/>
        <i x="3" s="1"/>
        <i x="4" s="1"/>
        <i x="5" s="1"/>
        <i x="6" s="1"/>
        <i x="8" s="1"/>
        <i x="9" s="1"/>
        <i x="7" s="1"/>
        <i x="11" s="1"/>
        <i x="12" s="1"/>
        <i x="10" s="1"/>
        <i x="13" s="1"/>
        <i x="14" s="1"/>
        <i x="58" s="1"/>
        <i x="15" s="1"/>
        <i x="17" s="1"/>
        <i x="16" s="1"/>
        <i x="18" s="1"/>
        <i x="19" s="1"/>
        <i x="20" s="1"/>
        <i x="21" s="1"/>
        <i x="22" s="1"/>
        <i x="23" s="1"/>
        <i x="24" s="1"/>
        <i x="25" s="1"/>
        <i x="26" s="1"/>
        <i x="27" s="1"/>
        <i x="28" s="1"/>
        <i x="29" s="1"/>
        <i x="30" s="1"/>
        <i x="32" s="1"/>
        <i x="33" s="1"/>
        <i x="34" s="1"/>
        <i x="35" s="1"/>
        <i x="31" s="1"/>
        <i x="36" s="1"/>
        <i x="37" s="1"/>
        <i x="38" s="1"/>
        <i x="39" s="1"/>
        <i x="40" s="1"/>
        <i x="41" s="1"/>
        <i x="42" s="1"/>
        <i x="43" s="1"/>
        <i x="44" s="1"/>
        <i x="45" s="1"/>
        <i x="46" s="1"/>
        <i x="47" s="1"/>
        <i x="48" s="1"/>
        <i x="49" s="1"/>
        <i x="50" s="1"/>
        <i x="51" s="1"/>
        <i x="52" s="1"/>
        <i x="53" s="1"/>
        <i x="54" s="1"/>
        <i x="55" s="1"/>
        <i x="56" s="1"/>
        <i x="57"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_body_type" xr10:uid="{FF961501-70B7-4D3B-AB61-11EB755B7513}" sourceName="car_body_type">
  <pivotTables>
    <pivotTable tabId="8" name="PivotTable 1"/>
    <pivotTable tabId="8" name="PivotTable 2"/>
    <pivotTable tabId="8" name="PivotTable 5"/>
    <pivotTable tabId="8" name="PivotTable 3"/>
    <pivotTable tabId="8" name="PivotTable 4"/>
    <pivotTable tabId="8" name="PivotTable 6"/>
    <pivotTable tabId="8" name="PivotTable 7"/>
    <pivotTable tabId="8" name="PivotTable 8"/>
  </pivotTables>
  <data>
    <tabular pivotCacheId="1193688160">
      <items count="8">
        <i x="6" s="1"/>
        <i x="7" s="1"/>
        <i x="0" s="1"/>
        <i x="3" s="1"/>
        <i x="4" s="1"/>
        <i x="5"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speed_group" xr10:uid="{EDBD02F1-D802-4FAD-B49C-D45BFD41F4C5}" sourceName="top_speed_group">
  <pivotTables>
    <pivotTable tabId="8" name="PivotTable 1"/>
    <pivotTable tabId="8" name="PivotTable 2"/>
    <pivotTable tabId="8" name="PivotTable 5"/>
    <pivotTable tabId="8" name="PivotTable 3"/>
    <pivotTable tabId="8" name="PivotTable 4"/>
    <pivotTable tabId="8" name="PivotTable 6"/>
    <pivotTable tabId="8" name="PivotTable 7"/>
    <pivotTable tabId="8" name="PivotTable 8"/>
  </pivotTables>
  <data>
    <tabular pivotCacheId="1193688160">
      <items count="8">
        <i x="5" s="1"/>
        <i x="0" s="1"/>
        <i x="2" s="1"/>
        <i x="1" s="1"/>
        <i x="3" s="1"/>
        <i x="4"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nge_km_category" xr10:uid="{9BB05959-7F3F-4BE6-88EC-1CE5E18E7C06}" sourceName="range_km_category">
  <pivotTables>
    <pivotTable tabId="8" name="PivotTable 1"/>
    <pivotTable tabId="8" name="PivotTable 2"/>
    <pivotTable tabId="8" name="PivotTable 5"/>
    <pivotTable tabId="8" name="PivotTable 3"/>
    <pivotTable tabId="8" name="PivotTable 4"/>
    <pivotTable tabId="8" name="PivotTable 6"/>
    <pivotTable tabId="8" name="PivotTable 7"/>
    <pivotTable tabId="8" name="PivotTable 8"/>
  </pivotTables>
  <data>
    <tabular pivotCacheId="1193688160" crossFilter="showItemsWithNoData">
      <items count="5">
        <i x="3" s="1"/>
        <i x="2"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st_charging_group" xr10:uid="{70C067E3-5AA7-4599-83CC-85D73D7CCF89}" sourceName="fast_charging_group">
  <pivotTables>
    <pivotTable tabId="8" name="PivotTable 1"/>
    <pivotTable tabId="8" name="PivotTable 2"/>
    <pivotTable tabId="8" name="PivotTable 5"/>
    <pivotTable tabId="8" name="PivotTable 3"/>
    <pivotTable tabId="8" name="PivotTable 4"/>
    <pivotTable tabId="8" name="PivotTable 6"/>
    <pivotTable tabId="8" name="PivotTable 7"/>
    <pivotTable tabId="8" name="PivotTable 8"/>
  </pivotTables>
  <data>
    <tabular pivotCacheId="1193688160">
      <items count="4">
        <i x="3" s="1"/>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fficiency_Category" xr10:uid="{E4C41A53-A892-457F-B261-55B7A431574E}" sourceName="Efficiency Category">
  <pivotTables>
    <pivotTable tabId="8" name="PivotTable 1"/>
    <pivotTable tabId="8" name="PivotTable 2"/>
    <pivotTable tabId="8" name="PivotTable 5"/>
    <pivotTable tabId="8" name="PivotTable 3"/>
    <pivotTable tabId="8" name="PivotTable 4"/>
    <pivotTable tabId="8" name="PivotTable 6"/>
    <pivotTable tabId="8" name="PivotTable 7"/>
    <pivotTable tabId="8" name="PivotTable 8"/>
  </pivotTables>
  <data>
    <tabular pivotCacheId="1193688160">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2" xr10:uid="{94022783-021F-4E62-8420-DDBB0779DB12}" cache="Slicer_brand" caption="brand" columnCount="2" rowHeight="914400"/>
  <slicer name="car_body_type 2" xr10:uid="{A14CC25F-1729-41BB-A81D-2A0422B13AD8}" cache="Slicer_car_body_type" caption="car_body_type" columnCount="2" rowHeight="731520"/>
  <slicer name="top_speed_group 2" xr10:uid="{A8E4DD78-1676-4526-87B6-8BA97EB741DC}" cache="Slicer_top_speed_group" caption="top_speed_group" columnCount="2" rowHeight="822960"/>
  <slicer name="range_km_category 2" xr10:uid="{F1FAB5EF-B631-4C35-AF8C-497A102B3749}" cache="Slicer_range_km_category" caption="range_km_category" columnCount="4" rowHeight="914400"/>
  <slicer name="fast_charging_group 2" xr10:uid="{88651A52-A961-4F86-9AF0-76B3D9D12D37}" cache="Slicer_fast_charging_group" caption="fast_charging_group" columnCount="4" rowHeight="914400"/>
  <slicer name="Efficiency Category 2" xr10:uid="{6C74D8FC-7B36-40C4-8095-909407A1D2F5}" cache="Slicer_Efficiency_Category" caption="Efficiency Category" columnCount="3" rowHeight="8229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A03150-F060-4DC2-BC73-C6B5E4B46A40}" name="electric_vehicles_spec_2025_csv" displayName="electric_vehicles_spec_2025_csv" ref="A1:AB479" tableType="queryTable" totalsRowShown="0" dataDxfId="84">
  <autoFilter ref="A1:AB479" xr:uid="{79A03150-F060-4DC2-BC73-C6B5E4B46A40}"/>
  <tableColumns count="28">
    <tableColumn id="1" xr3:uid="{56F3BB73-F9C9-4914-B114-F61562CBDB0D}" uniqueName="1" name="brand" queryTableFieldId="1" dataDxfId="83"/>
    <tableColumn id="2" xr3:uid="{9AD2FFA2-5588-45C5-B62D-8624950AE516}" uniqueName="2" name="model" queryTableFieldId="2" dataDxfId="82"/>
    <tableColumn id="3" xr3:uid="{DB220FE5-D82B-44AB-9C11-492D65A9123A}" uniqueName="3" name="top_speed_kmh" queryTableFieldId="3" dataDxfId="81"/>
    <tableColumn id="26" xr3:uid="{DB4F2220-2254-43AC-8EAB-3C666551DDA6}" uniqueName="26" name="top_speed_group" queryTableFieldId="26" dataDxfId="80">
      <calculatedColumnFormula>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calculatedColumnFormula>
    </tableColumn>
    <tableColumn id="4" xr3:uid="{5FF4AE5D-8BAC-4305-88EB-BC0C14F07D77}" uniqueName="4" name="battery_capacity_kWh" queryTableFieldId="4" dataDxfId="79"/>
    <tableColumn id="23" xr3:uid="{9B7F203D-5A26-438E-8820-04501B4B9E59}" uniqueName="23" name="battery_capacity_group" queryTableFieldId="23" dataDxfId="78">
      <calculatedColumnFormula>IF(electric_vehicles_spec_2025_csv[[#This Row],[battery_capacity_kWh]]&lt;=30, "0–30 kWh", IF(electric_vehicles_spec_2025_csv[[#This Row],[battery_capacity_kWh]]&lt;=60, "31–60 kWh", "61+ kWh"))</calculatedColumnFormula>
    </tableColumn>
    <tableColumn id="5" xr3:uid="{4CFDACC3-9756-4BB2-B7B9-D62B93BEBBA0}" uniqueName="5" name="battery_type" queryTableFieldId="5" dataDxfId="77"/>
    <tableColumn id="6" xr3:uid="{175C888F-8319-4272-BF52-CC4013BF9D7D}" uniqueName="6" name="number_of_cells" queryTableFieldId="6" dataDxfId="76"/>
    <tableColumn id="7" xr3:uid="{83AFF170-491A-4CF6-9F4D-0B494432B0D6}" uniqueName="7" name="torque_nm" queryTableFieldId="7" dataDxfId="75"/>
    <tableColumn id="8" xr3:uid="{45DF770F-370D-4EEC-9536-3ABCAD47A834}" uniqueName="8" name="efficiency_wh_per_km" queryTableFieldId="8" dataDxfId="74"/>
    <tableColumn id="24" xr3:uid="{944050D8-6B1B-4891-9070-05FADF1D87AB}" uniqueName="24" name="Efficiency Category" queryTableFieldId="24" dataDxfId="73">
      <calculatedColumnFormula>IF(J2&lt;=130,"0–130 Wh/km",IF(J2&lt;=160,"131–160 Wh/km","161+ Wh/km"))</calculatedColumnFormula>
    </tableColumn>
    <tableColumn id="9" xr3:uid="{07C7C5FC-AC08-478E-9850-4F005E6C192D}" uniqueName="9" name="range_km" queryTableFieldId="9" dataDxfId="72"/>
    <tableColumn id="25" xr3:uid="{786F8561-16E8-4C28-AECE-B31572959EDD}" uniqueName="25" name="range_km_category" queryTableFieldId="25" dataDxfId="71"/>
    <tableColumn id="10" xr3:uid="{D1AB1789-51EC-493A-81A2-9F3E45C7946C}" uniqueName="10" name="acceleration_0_100_s" queryTableFieldId="10" dataDxfId="70"/>
    <tableColumn id="28" xr3:uid="{89A61620-1F56-414E-A9F8-5E00B387C70E}" uniqueName="28" name="acceleration_group" queryTableFieldId="28" dataDxfId="69">
      <calculatedColumnFormula>IF(electric_vehicles_spec_2025_csv[[#This Row],[acceleration_0_100_s]]&lt;4,"0–3.9 s",IF(electric_vehicles_spec_2025_csv[[#This Row],[acceleration_0_100_s]]&lt;6,"4.0–5.9 s",IF(electric_vehicles_spec_2025_csv[[#This Row],[acceleration_0_100_s]]&lt;8,"6.0–7.9 s","8.0+ s")))</calculatedColumnFormula>
    </tableColumn>
    <tableColumn id="11" xr3:uid="{B5BF0C42-502A-4119-A68B-981B61001E83}" uniqueName="11" name="fast_charging_power_kw_dc" queryTableFieldId="11" dataDxfId="68"/>
    <tableColumn id="27" xr3:uid="{8BED2A14-B7CC-4908-BBCB-FF10F58DC59E}" uniqueName="27" name="fast_charging_group" queryTableFieldId="27" dataDxfId="67">
      <calculatedColumnFormula>IF(electric_vehicles_spec_2025_csv[[#This Row],[fast_charging_power_kw_dc]]&lt;50,"0–49 kW",IF(electric_vehicles_spec_2025_csv[[#This Row],[fast_charging_power_kw_dc]]&lt;100,"50–99 kW",IF(electric_vehicles_spec_2025_csv[[#This Row],[fast_charging_power_kw_dc]]&lt;150,"100–149 kW","150+ kW")))</calculatedColumnFormula>
    </tableColumn>
    <tableColumn id="12" xr3:uid="{99AE2494-C0EE-4060-A6C2-7DEE7EDBC0C9}" uniqueName="12" name="fast_charge_port" queryTableFieldId="12" dataDxfId="66"/>
    <tableColumn id="13" xr3:uid="{D3B2088E-2DD4-4F8D-BAD0-F81AB2893A35}" uniqueName="13" name="towing_capacity_kg" queryTableFieldId="13" dataDxfId="65"/>
    <tableColumn id="14" xr3:uid="{ED184D37-7F07-462A-95B0-004F6EC6B79D}" uniqueName="14" name="cargo_volume_l" queryTableFieldId="14" dataDxfId="64"/>
    <tableColumn id="15" xr3:uid="{DDC6F2A8-4D6B-4E9F-A5F9-D798705CA39C}" uniqueName="15" name="seats" queryTableFieldId="15" dataDxfId="63"/>
    <tableColumn id="16" xr3:uid="{3528B824-C820-4E7D-9A0C-32E2B23F79C6}" uniqueName="16" name="drivetrain" queryTableFieldId="16" dataDxfId="62"/>
    <tableColumn id="17" xr3:uid="{63A583BB-B58F-4C5B-8D86-96CB9BA5FA09}" uniqueName="17" name="segment" queryTableFieldId="17" dataDxfId="61"/>
    <tableColumn id="18" xr3:uid="{EC6CF7E5-4789-47CA-9B2E-AF9B2BDA3807}" uniqueName="18" name="length_mm" queryTableFieldId="18" dataDxfId="60"/>
    <tableColumn id="19" xr3:uid="{6F486BB1-722F-4936-847C-46D9A5806A66}" uniqueName="19" name="width_mm" queryTableFieldId="19" dataDxfId="59"/>
    <tableColumn id="20" xr3:uid="{13CAA50B-C652-4962-B26F-9D0B72DF469B}" uniqueName="20" name="height_mm" queryTableFieldId="20" dataDxfId="58"/>
    <tableColumn id="21" xr3:uid="{5E3830AF-86BD-41BB-AE1C-AC6A3A0537BB}" uniqueName="21" name="car_body_type" queryTableFieldId="21" dataDxfId="57"/>
    <tableColumn id="22" xr3:uid="{C17DFF77-4FE8-46B6-AE4F-0A68E62E940C}" uniqueName="22" name="source_url" queryTableFieldId="22" dataDxfId="5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C9C9-2DA6-4D27-85C4-82B56511ACC4}">
  <sheetPr>
    <tabColor rgb="FF0070C0"/>
  </sheetPr>
  <dimension ref="A1:BE479"/>
  <sheetViews>
    <sheetView zoomScale="85" zoomScaleNormal="85" workbookViewId="0">
      <pane ySplit="1" topLeftCell="A2" activePane="bottomLeft" state="frozen"/>
      <selection activeCell="G1" sqref="G1"/>
      <selection pane="bottomLeft" activeCell="A2" sqref="A2:AB479"/>
    </sheetView>
  </sheetViews>
  <sheetFormatPr defaultRowHeight="14.4" x14ac:dyDescent="0.3"/>
  <cols>
    <col min="1" max="1" width="14.109375" bestFit="1" customWidth="1"/>
    <col min="2" max="2" width="36.6640625" bestFit="1" customWidth="1"/>
    <col min="3" max="3" width="18" bestFit="1" customWidth="1"/>
    <col min="4" max="4" width="19.44140625" bestFit="1" customWidth="1"/>
    <col min="5" max="5" width="24.109375" bestFit="1" customWidth="1"/>
    <col min="6" max="6" width="25.44140625" bestFit="1" customWidth="1"/>
    <col min="7" max="7" width="15.21875" bestFit="1" customWidth="1"/>
    <col min="8" max="8" width="18.44140625" bestFit="1" customWidth="1"/>
    <col min="9" max="9" width="13.5546875" bestFit="1" customWidth="1"/>
    <col min="10" max="10" width="23.88671875" bestFit="1" customWidth="1"/>
    <col min="11" max="11" width="20.77734375" bestFit="1" customWidth="1"/>
    <col min="12" max="12" width="12.44140625" bestFit="1" customWidth="1"/>
    <col min="13" max="13" width="21.5546875" bestFit="1" customWidth="1"/>
    <col min="14" max="14" width="22.88671875" bestFit="1" customWidth="1"/>
    <col min="15" max="15" width="21.109375" bestFit="1" customWidth="1"/>
    <col min="16" max="16" width="29.6640625" bestFit="1" customWidth="1"/>
    <col min="17" max="17" width="22.21875" bestFit="1" customWidth="1"/>
    <col min="18" max="18" width="18.88671875" bestFit="1" customWidth="1"/>
    <col min="19" max="19" width="21.6640625" bestFit="1" customWidth="1"/>
    <col min="20" max="20" width="17.88671875" bestFit="1" customWidth="1"/>
    <col min="21" max="21" width="8" bestFit="1" customWidth="1"/>
    <col min="22" max="22" width="12.44140625" bestFit="1" customWidth="1"/>
    <col min="23" max="23" width="71.109375" hidden="1" customWidth="1"/>
    <col min="24" max="24" width="13.6640625" bestFit="1" customWidth="1"/>
    <col min="25" max="33" width="0" hidden="1" customWidth="1"/>
    <col min="41" max="42" width="8.88671875" customWidth="1"/>
    <col min="43" max="43" width="4" customWidth="1"/>
    <col min="44" max="57" width="8.88671875" hidden="1" customWidth="1"/>
  </cols>
  <sheetData>
    <row r="1" spans="1:28" x14ac:dyDescent="0.3">
      <c r="A1" t="s">
        <v>0</v>
      </c>
      <c r="B1" t="s">
        <v>1</v>
      </c>
      <c r="C1" t="s">
        <v>2</v>
      </c>
      <c r="D1" t="s">
        <v>1231</v>
      </c>
      <c r="E1" t="s">
        <v>3</v>
      </c>
      <c r="F1" t="s">
        <v>1227</v>
      </c>
      <c r="G1" t="s">
        <v>4</v>
      </c>
      <c r="H1" t="s">
        <v>5</v>
      </c>
      <c r="I1" t="s">
        <v>6</v>
      </c>
      <c r="J1" t="s">
        <v>7</v>
      </c>
      <c r="K1" t="s">
        <v>1229</v>
      </c>
      <c r="L1" t="s">
        <v>8</v>
      </c>
      <c r="M1" t="s">
        <v>1230</v>
      </c>
      <c r="N1" t="s">
        <v>9</v>
      </c>
      <c r="O1" t="s">
        <v>1233</v>
      </c>
      <c r="P1" t="s">
        <v>10</v>
      </c>
      <c r="Q1" t="s">
        <v>1232</v>
      </c>
      <c r="R1" t="s">
        <v>11</v>
      </c>
      <c r="S1" t="s">
        <v>12</v>
      </c>
      <c r="T1" t="s">
        <v>13</v>
      </c>
      <c r="U1" t="s">
        <v>14</v>
      </c>
      <c r="V1" t="s">
        <v>15</v>
      </c>
      <c r="W1" t="s">
        <v>16</v>
      </c>
      <c r="X1" t="s">
        <v>17</v>
      </c>
      <c r="Y1" t="s">
        <v>18</v>
      </c>
      <c r="Z1" t="s">
        <v>19</v>
      </c>
      <c r="AA1" t="s">
        <v>20</v>
      </c>
      <c r="AB1" t="s">
        <v>21</v>
      </c>
    </row>
    <row r="2" spans="1:28" x14ac:dyDescent="0.3">
      <c r="A2" s="16" t="s">
        <v>22</v>
      </c>
      <c r="B2" s="16" t="s">
        <v>23</v>
      </c>
      <c r="C2" s="16">
        <v>155</v>
      </c>
      <c r="D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 s="16">
        <v>37.799999999999997</v>
      </c>
      <c r="F2" s="16" t="str">
        <f>IF(electric_vehicles_spec_2025_csv[[#This Row],[battery_capacity_kWh]]&lt;=30, "0–30 kWh", IF(electric_vehicles_spec_2025_csv[[#This Row],[battery_capacity_kWh]]&lt;=60, "31–60 kWh", "61+ kWh"))</f>
        <v>31–60 kWh</v>
      </c>
      <c r="G2" s="16" t="s">
        <v>24</v>
      </c>
      <c r="H2" s="16">
        <v>192</v>
      </c>
      <c r="I2" s="16">
        <v>235</v>
      </c>
      <c r="J2" s="16">
        <v>156</v>
      </c>
      <c r="K2" s="16" t="str">
        <f t="shared" ref="K2:K65" si="0">IF(J2&lt;=130,"0–130 Wh/km",IF(J2&lt;=160,"131–160 Wh/km","161+ Wh/km"))</f>
        <v>131–160 Wh/km</v>
      </c>
      <c r="L2" s="16">
        <v>225</v>
      </c>
      <c r="M2" s="16" t="str">
        <f>IF(electric_vehicles_spec_2025_csv[[#This Row],[range_km]]&lt;=200, "0–200 km",IF(electric_vehicles_spec_2025_csv[[#This Row],[range_km]]&lt;=400, "201–400 km", "401+ km"))</f>
        <v>201–400 km</v>
      </c>
      <c r="N2" s="16">
        <v>7</v>
      </c>
      <c r="O2" s="16" t="str">
        <f>IF(electric_vehicles_spec_2025_csv[[#This Row],[acceleration_0_100_s]]&lt;4,"0–3.9 s",IF(electric_vehicles_spec_2025_csv[[#This Row],[acceleration_0_100_s]]&lt;6,"4.0–5.9 s",IF(electric_vehicles_spec_2025_csv[[#This Row],[acceleration_0_100_s]]&lt;8,"6.0–7.9 s","8.0+ s")))</f>
        <v>6.0–7.9 s</v>
      </c>
      <c r="P2" s="16">
        <v>67</v>
      </c>
      <c r="Q2" s="16" t="str">
        <f>IF(electric_vehicles_spec_2025_csv[[#This Row],[fast_charging_power_kw_dc]]&lt;50,"0–49 kW",IF(electric_vehicles_spec_2025_csv[[#This Row],[fast_charging_power_kw_dc]]&lt;100,"50–99 kW",IF(electric_vehicles_spec_2025_csv[[#This Row],[fast_charging_power_kw_dc]]&lt;150,"100–149 kW","150+ kW")))</f>
        <v>50–99 kW</v>
      </c>
      <c r="R2" s="16" t="s">
        <v>25</v>
      </c>
      <c r="S2" s="16">
        <v>0</v>
      </c>
      <c r="T2" s="16" t="s">
        <v>26</v>
      </c>
      <c r="U2" s="16">
        <v>4</v>
      </c>
      <c r="V2" s="16" t="s">
        <v>27</v>
      </c>
      <c r="W2" s="16" t="s">
        <v>28</v>
      </c>
      <c r="X2" s="16">
        <v>3673</v>
      </c>
      <c r="Y2" s="16">
        <v>1683</v>
      </c>
      <c r="Z2" s="16">
        <v>1518</v>
      </c>
      <c r="AA2" s="16" t="s">
        <v>29</v>
      </c>
      <c r="AB2" s="16" t="s">
        <v>30</v>
      </c>
    </row>
    <row r="3" spans="1:28" x14ac:dyDescent="0.3">
      <c r="A3" s="16" t="s">
        <v>22</v>
      </c>
      <c r="B3" s="16" t="s">
        <v>31</v>
      </c>
      <c r="C3" s="16">
        <v>155</v>
      </c>
      <c r="D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 s="16">
        <v>37.799999999999997</v>
      </c>
      <c r="F3" s="16" t="str">
        <f>IF(electric_vehicles_spec_2025_csv[[#This Row],[battery_capacity_kWh]]&lt;=30, "0–30 kWh", IF(electric_vehicles_spec_2025_csv[[#This Row],[battery_capacity_kWh]]&lt;=60, "31–60 kWh", "61+ kWh"))</f>
        <v>31–60 kWh</v>
      </c>
      <c r="G3" s="16" t="s">
        <v>24</v>
      </c>
      <c r="H3" s="16">
        <v>192</v>
      </c>
      <c r="I3" s="16">
        <v>235</v>
      </c>
      <c r="J3" s="16">
        <v>149</v>
      </c>
      <c r="K3" s="16" t="str">
        <f t="shared" si="0"/>
        <v>131–160 Wh/km</v>
      </c>
      <c r="L3" s="16">
        <v>225</v>
      </c>
      <c r="M3" s="16" t="str">
        <f>IF(electric_vehicles_spec_2025_csv[[#This Row],[range_km]]&lt;=200, "0–200 km",IF(electric_vehicles_spec_2025_csv[[#This Row],[range_km]]&lt;=400, "201–400 km", "401+ km"))</f>
        <v>201–400 km</v>
      </c>
      <c r="N3" s="16">
        <v>7</v>
      </c>
      <c r="O3" s="16" t="str">
        <f>IF(electric_vehicles_spec_2025_csv[[#This Row],[acceleration_0_100_s]]&lt;4,"0–3.9 s",IF(electric_vehicles_spec_2025_csv[[#This Row],[acceleration_0_100_s]]&lt;6,"4.0–5.9 s",IF(electric_vehicles_spec_2025_csv[[#This Row],[acceleration_0_100_s]]&lt;8,"6.0–7.9 s","8.0+ s")))</f>
        <v>6.0–7.9 s</v>
      </c>
      <c r="P3" s="16">
        <v>67</v>
      </c>
      <c r="Q3" s="16" t="str">
        <f>IF(electric_vehicles_spec_2025_csv[[#This Row],[fast_charging_power_kw_dc]]&lt;50,"0–49 kW",IF(electric_vehicles_spec_2025_csv[[#This Row],[fast_charging_power_kw_dc]]&lt;100,"50–99 kW",IF(electric_vehicles_spec_2025_csv[[#This Row],[fast_charging_power_kw_dc]]&lt;150,"100–149 kW","150+ kW")))</f>
        <v>50–99 kW</v>
      </c>
      <c r="R3" s="16" t="s">
        <v>25</v>
      </c>
      <c r="S3" s="16">
        <v>0</v>
      </c>
      <c r="T3" s="16" t="s">
        <v>26</v>
      </c>
      <c r="U3" s="16">
        <v>4</v>
      </c>
      <c r="V3" s="16" t="s">
        <v>27</v>
      </c>
      <c r="W3" s="16" t="s">
        <v>28</v>
      </c>
      <c r="X3" s="16">
        <v>3673</v>
      </c>
      <c r="Y3" s="16">
        <v>1683</v>
      </c>
      <c r="Z3" s="16">
        <v>1518</v>
      </c>
      <c r="AA3" s="16" t="s">
        <v>29</v>
      </c>
      <c r="AB3" s="16" t="s">
        <v>32</v>
      </c>
    </row>
    <row r="4" spans="1:28" x14ac:dyDescent="0.3">
      <c r="A4" s="16" t="s">
        <v>22</v>
      </c>
      <c r="B4" s="16" t="s">
        <v>33</v>
      </c>
      <c r="C4" s="16">
        <v>200</v>
      </c>
      <c r="D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 s="16">
        <v>50.8</v>
      </c>
      <c r="F4" s="16" t="str">
        <f>IF(electric_vehicles_spec_2025_csv[[#This Row],[battery_capacity_kWh]]&lt;=30, "0–30 kWh", IF(electric_vehicles_spec_2025_csv[[#This Row],[battery_capacity_kWh]]&lt;=60, "31–60 kWh", "61+ kWh"))</f>
        <v>31–60 kWh</v>
      </c>
      <c r="G4" s="16" t="s">
        <v>24</v>
      </c>
      <c r="H4" s="16">
        <v>102</v>
      </c>
      <c r="I4" s="16">
        <v>345</v>
      </c>
      <c r="J4" s="16">
        <v>158</v>
      </c>
      <c r="K4" s="16" t="str">
        <f t="shared" si="0"/>
        <v>131–160 Wh/km</v>
      </c>
      <c r="L4" s="16">
        <v>280</v>
      </c>
      <c r="M4" s="16" t="str">
        <f>IF(electric_vehicles_spec_2025_csv[[#This Row],[range_km]]&lt;=200, "0–200 km",IF(electric_vehicles_spec_2025_csv[[#This Row],[range_km]]&lt;=400, "201–400 km", "401+ km"))</f>
        <v>201–400 km</v>
      </c>
      <c r="N4" s="16">
        <v>5.9</v>
      </c>
      <c r="O4" s="16" t="str">
        <f>IF(electric_vehicles_spec_2025_csv[[#This Row],[acceleration_0_100_s]]&lt;4,"0–3.9 s",IF(electric_vehicles_spec_2025_csv[[#This Row],[acceleration_0_100_s]]&lt;6,"4.0–5.9 s",IF(electric_vehicles_spec_2025_csv[[#This Row],[acceleration_0_100_s]]&lt;8,"6.0–7.9 s","8.0+ s")))</f>
        <v>4.0–5.9 s</v>
      </c>
      <c r="P4" s="16">
        <v>79</v>
      </c>
      <c r="Q4" s="16" t="str">
        <f>IF(electric_vehicles_spec_2025_csv[[#This Row],[fast_charging_power_kw_dc]]&lt;50,"0–49 kW",IF(electric_vehicles_spec_2025_csv[[#This Row],[fast_charging_power_kw_dc]]&lt;100,"50–99 kW",IF(electric_vehicles_spec_2025_csv[[#This Row],[fast_charging_power_kw_dc]]&lt;150,"100–149 kW","150+ kW")))</f>
        <v>50–99 kW</v>
      </c>
      <c r="R4" s="16" t="s">
        <v>25</v>
      </c>
      <c r="S4" s="16">
        <v>0</v>
      </c>
      <c r="T4" s="16" t="s">
        <v>34</v>
      </c>
      <c r="U4" s="16">
        <v>5</v>
      </c>
      <c r="V4" s="16" t="s">
        <v>27</v>
      </c>
      <c r="W4" s="16" t="s">
        <v>35</v>
      </c>
      <c r="X4" s="16">
        <v>4187</v>
      </c>
      <c r="Y4" s="16">
        <v>1779</v>
      </c>
      <c r="Z4" s="16">
        <v>1557</v>
      </c>
      <c r="AA4" s="16" t="s">
        <v>36</v>
      </c>
      <c r="AB4" s="16" t="s">
        <v>37</v>
      </c>
    </row>
    <row r="5" spans="1:28" x14ac:dyDescent="0.3">
      <c r="A5" s="16" t="s">
        <v>22</v>
      </c>
      <c r="B5" s="16" t="s">
        <v>38</v>
      </c>
      <c r="C5" s="16">
        <v>200</v>
      </c>
      <c r="D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5" s="16">
        <v>50.8</v>
      </c>
      <c r="F5" s="16" t="str">
        <f>IF(electric_vehicles_spec_2025_csv[[#This Row],[battery_capacity_kWh]]&lt;=30, "0–30 kWh", IF(electric_vehicles_spec_2025_csv[[#This Row],[battery_capacity_kWh]]&lt;=60, "31–60 kWh", "61+ kWh"))</f>
        <v>31–60 kWh</v>
      </c>
      <c r="G5" s="16" t="s">
        <v>24</v>
      </c>
      <c r="H5" s="16">
        <v>102</v>
      </c>
      <c r="I5" s="16">
        <v>345</v>
      </c>
      <c r="J5" s="16">
        <v>158</v>
      </c>
      <c r="K5" s="16" t="str">
        <f t="shared" si="0"/>
        <v>131–160 Wh/km</v>
      </c>
      <c r="L5" s="16">
        <v>280</v>
      </c>
      <c r="M5" s="16" t="str">
        <f>IF(electric_vehicles_spec_2025_csv[[#This Row],[range_km]]&lt;=200, "0–200 km",IF(electric_vehicles_spec_2025_csv[[#This Row],[range_km]]&lt;=400, "201–400 km", "401+ km"))</f>
        <v>201–400 km</v>
      </c>
      <c r="N5" s="16">
        <v>6.2</v>
      </c>
      <c r="O5" s="16" t="str">
        <f>IF(electric_vehicles_spec_2025_csv[[#This Row],[acceleration_0_100_s]]&lt;4,"0–3.9 s",IF(electric_vehicles_spec_2025_csv[[#This Row],[acceleration_0_100_s]]&lt;6,"4.0–5.9 s",IF(electric_vehicles_spec_2025_csv[[#This Row],[acceleration_0_100_s]]&lt;8,"6.0–7.9 s","8.0+ s")))</f>
        <v>6.0–7.9 s</v>
      </c>
      <c r="P5" s="16">
        <v>79</v>
      </c>
      <c r="Q5" s="16" t="str">
        <f>IF(electric_vehicles_spec_2025_csv[[#This Row],[fast_charging_power_kw_dc]]&lt;50,"0–49 kW",IF(electric_vehicles_spec_2025_csv[[#This Row],[fast_charging_power_kw_dc]]&lt;100,"50–99 kW",IF(electric_vehicles_spec_2025_csv[[#This Row],[fast_charging_power_kw_dc]]&lt;150,"100–149 kW","150+ kW")))</f>
        <v>50–99 kW</v>
      </c>
      <c r="R5" s="16" t="s">
        <v>25</v>
      </c>
      <c r="S5" s="16">
        <v>0</v>
      </c>
      <c r="T5" s="16" t="s">
        <v>34</v>
      </c>
      <c r="U5" s="16">
        <v>5</v>
      </c>
      <c r="V5" s="16" t="s">
        <v>27</v>
      </c>
      <c r="W5" s="16" t="s">
        <v>35</v>
      </c>
      <c r="X5" s="16">
        <v>4187</v>
      </c>
      <c r="Y5" s="16">
        <v>1779</v>
      </c>
      <c r="Z5" s="16">
        <v>1557</v>
      </c>
      <c r="AA5" s="16" t="s">
        <v>36</v>
      </c>
      <c r="AB5" s="16" t="s">
        <v>39</v>
      </c>
    </row>
    <row r="6" spans="1:28" x14ac:dyDescent="0.3">
      <c r="A6" s="16" t="s">
        <v>40</v>
      </c>
      <c r="B6" s="16" t="s">
        <v>41</v>
      </c>
      <c r="C6" s="16">
        <v>150</v>
      </c>
      <c r="D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 s="16">
        <v>60</v>
      </c>
      <c r="F6" s="16" t="str">
        <f>IF(electric_vehicles_spec_2025_csv[[#This Row],[battery_capacity_kWh]]&lt;=30, "0–30 kWh", IF(electric_vehicles_spec_2025_csv[[#This Row],[battery_capacity_kWh]]&lt;=60, "31–60 kWh", "61+ kWh"))</f>
        <v>31–60 kWh</v>
      </c>
      <c r="G6" s="16" t="s">
        <v>24</v>
      </c>
      <c r="H6" s="16"/>
      <c r="I6" s="16">
        <v>310</v>
      </c>
      <c r="J6" s="16">
        <v>156</v>
      </c>
      <c r="K6" s="16" t="str">
        <f t="shared" si="0"/>
        <v>131–160 Wh/km</v>
      </c>
      <c r="L6" s="16">
        <v>315</v>
      </c>
      <c r="M6" s="16" t="str">
        <f>IF(electric_vehicles_spec_2025_csv[[#This Row],[range_km]]&lt;=200, "0–200 km",IF(electric_vehicles_spec_2025_csv[[#This Row],[range_km]]&lt;=400, "201–400 km", "401+ km"))</f>
        <v>201–400 km</v>
      </c>
      <c r="N6" s="16">
        <v>7.5</v>
      </c>
      <c r="O6" s="16" t="str">
        <f>IF(electric_vehicles_spec_2025_csv[[#This Row],[acceleration_0_100_s]]&lt;4,"0–3.9 s",IF(electric_vehicles_spec_2025_csv[[#This Row],[acceleration_0_100_s]]&lt;6,"4.0–5.9 s",IF(electric_vehicles_spec_2025_csv[[#This Row],[acceleration_0_100_s]]&lt;8,"6.0–7.9 s","8.0+ s")))</f>
        <v>6.0–7.9 s</v>
      </c>
      <c r="P6" s="16">
        <v>78</v>
      </c>
      <c r="Q6" s="16" t="str">
        <f>IF(electric_vehicles_spec_2025_csv[[#This Row],[fast_charging_power_kw_dc]]&lt;50,"0–49 kW",IF(electric_vehicles_spec_2025_csv[[#This Row],[fast_charging_power_kw_dc]]&lt;100,"50–99 kW",IF(electric_vehicles_spec_2025_csv[[#This Row],[fast_charging_power_kw_dc]]&lt;150,"100–149 kW","150+ kW")))</f>
        <v>50–99 kW</v>
      </c>
      <c r="R6" s="16" t="s">
        <v>25</v>
      </c>
      <c r="S6" s="16"/>
      <c r="T6" s="16" t="s">
        <v>42</v>
      </c>
      <c r="U6" s="16">
        <v>5</v>
      </c>
      <c r="V6" s="16" t="s">
        <v>27</v>
      </c>
      <c r="W6" s="16" t="s">
        <v>43</v>
      </c>
      <c r="X6" s="16">
        <v>4680</v>
      </c>
      <c r="Y6" s="16">
        <v>1865</v>
      </c>
      <c r="Z6" s="16">
        <v>1700</v>
      </c>
      <c r="AA6" s="16" t="s">
        <v>36</v>
      </c>
      <c r="AB6" s="16" t="s">
        <v>44</v>
      </c>
    </row>
    <row r="7" spans="1:28" x14ac:dyDescent="0.3">
      <c r="A7" s="16" t="s">
        <v>40</v>
      </c>
      <c r="B7" s="16" t="s">
        <v>45</v>
      </c>
      <c r="C7" s="16">
        <v>160</v>
      </c>
      <c r="D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7" s="16">
        <v>60</v>
      </c>
      <c r="F7" s="16" t="str">
        <f>IF(electric_vehicles_spec_2025_csv[[#This Row],[battery_capacity_kWh]]&lt;=30, "0–30 kWh", IF(electric_vehicles_spec_2025_csv[[#This Row],[battery_capacity_kWh]]&lt;=60, "31–60 kWh", "61+ kWh"))</f>
        <v>31–60 kWh</v>
      </c>
      <c r="G7" s="16" t="s">
        <v>24</v>
      </c>
      <c r="H7" s="16"/>
      <c r="I7" s="16">
        <v>315</v>
      </c>
      <c r="J7" s="16">
        <v>150</v>
      </c>
      <c r="K7" s="16" t="str">
        <f t="shared" si="0"/>
        <v>131–160 Wh/km</v>
      </c>
      <c r="L7" s="16">
        <v>350</v>
      </c>
      <c r="M7" s="16" t="str">
        <f>IF(electric_vehicles_spec_2025_csv[[#This Row],[range_km]]&lt;=200, "0–200 km",IF(electric_vehicles_spec_2025_csv[[#This Row],[range_km]]&lt;=400, "201–400 km", "401+ km"))</f>
        <v>201–400 km</v>
      </c>
      <c r="N7" s="16">
        <v>7</v>
      </c>
      <c r="O7" s="16" t="str">
        <f>IF(electric_vehicles_spec_2025_csv[[#This Row],[acceleration_0_100_s]]&lt;4,"0–3.9 s",IF(electric_vehicles_spec_2025_csv[[#This Row],[acceleration_0_100_s]]&lt;6,"4.0–5.9 s",IF(electric_vehicles_spec_2025_csv[[#This Row],[acceleration_0_100_s]]&lt;8,"6.0–7.9 s","8.0+ s")))</f>
        <v>6.0–7.9 s</v>
      </c>
      <c r="P7" s="16">
        <v>78</v>
      </c>
      <c r="Q7" s="16" t="str">
        <f>IF(electric_vehicles_spec_2025_csv[[#This Row],[fast_charging_power_kw_dc]]&lt;50,"0–49 kW",IF(electric_vehicles_spec_2025_csv[[#This Row],[fast_charging_power_kw_dc]]&lt;100,"50–99 kW",IF(electric_vehicles_spec_2025_csv[[#This Row],[fast_charging_power_kw_dc]]&lt;150,"100–149 kW","150+ kW")))</f>
        <v>50–99 kW</v>
      </c>
      <c r="R7" s="16" t="s">
        <v>25</v>
      </c>
      <c r="S7" s="16"/>
      <c r="T7" s="16" t="s">
        <v>46</v>
      </c>
      <c r="U7" s="16">
        <v>5</v>
      </c>
      <c r="V7" s="16" t="s">
        <v>27</v>
      </c>
      <c r="W7" s="16" t="s">
        <v>43</v>
      </c>
      <c r="X7" s="16">
        <v>4805</v>
      </c>
      <c r="Y7" s="16">
        <v>1880</v>
      </c>
      <c r="Z7" s="16">
        <v>1641</v>
      </c>
      <c r="AA7" s="16" t="s">
        <v>36</v>
      </c>
      <c r="AB7" s="16" t="s">
        <v>47</v>
      </c>
    </row>
    <row r="8" spans="1:28" x14ac:dyDescent="0.3">
      <c r="A8" s="16" t="s">
        <v>48</v>
      </c>
      <c r="B8" s="16" t="s">
        <v>49</v>
      </c>
      <c r="C8" s="16">
        <v>150</v>
      </c>
      <c r="D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8" s="16">
        <v>50.8</v>
      </c>
      <c r="F8" s="16" t="str">
        <f>IF(electric_vehicles_spec_2025_csv[[#This Row],[battery_capacity_kWh]]&lt;=30, "0–30 kWh", IF(electric_vehicles_spec_2025_csv[[#This Row],[battery_capacity_kWh]]&lt;=60, "31–60 kWh", "61+ kWh"))</f>
        <v>31–60 kWh</v>
      </c>
      <c r="G8" s="16" t="s">
        <v>24</v>
      </c>
      <c r="H8" s="16">
        <v>102</v>
      </c>
      <c r="I8" s="16">
        <v>260</v>
      </c>
      <c r="J8" s="16">
        <v>128</v>
      </c>
      <c r="K8" s="16" t="str">
        <f t="shared" si="0"/>
        <v>0–130 Wh/km</v>
      </c>
      <c r="L8" s="16">
        <v>320</v>
      </c>
      <c r="M8" s="16" t="str">
        <f>IF(electric_vehicles_spec_2025_csv[[#This Row],[range_km]]&lt;=200, "0–200 km",IF(electric_vehicles_spec_2025_csv[[#This Row],[range_km]]&lt;=400, "201–400 km", "401+ km"))</f>
        <v>201–400 km</v>
      </c>
      <c r="N8" s="16">
        <v>9</v>
      </c>
      <c r="O8" s="16" t="str">
        <f>IF(electric_vehicles_spec_2025_csv[[#This Row],[acceleration_0_100_s]]&lt;4,"0–3.9 s",IF(electric_vehicles_spec_2025_csv[[#This Row],[acceleration_0_100_s]]&lt;6,"4.0–5.9 s",IF(electric_vehicles_spec_2025_csv[[#This Row],[acceleration_0_100_s]]&lt;8,"6.0–7.9 s","8.0+ s")))</f>
        <v>8.0+ s</v>
      </c>
      <c r="P8" s="16">
        <v>85</v>
      </c>
      <c r="Q8" s="16" t="str">
        <f>IF(electric_vehicles_spec_2025_csv[[#This Row],[fast_charging_power_kw_dc]]&lt;50,"0–49 kW",IF(electric_vehicles_spec_2025_csv[[#This Row],[fast_charging_power_kw_dc]]&lt;100,"50–99 kW",IF(electric_vehicles_spec_2025_csv[[#This Row],[fast_charging_power_kw_dc]]&lt;150,"100–149 kW","150+ kW")))</f>
        <v>50–99 kW</v>
      </c>
      <c r="R8" s="16" t="s">
        <v>25</v>
      </c>
      <c r="S8" s="16">
        <v>0</v>
      </c>
      <c r="T8" s="16" t="s">
        <v>50</v>
      </c>
      <c r="U8" s="16">
        <v>5</v>
      </c>
      <c r="V8" s="16" t="s">
        <v>27</v>
      </c>
      <c r="W8" s="16" t="s">
        <v>35</v>
      </c>
      <c r="X8" s="16">
        <v>4173</v>
      </c>
      <c r="Y8" s="16">
        <v>1781</v>
      </c>
      <c r="Z8" s="16">
        <v>1532</v>
      </c>
      <c r="AA8" s="16" t="s">
        <v>36</v>
      </c>
      <c r="AB8" s="16" t="s">
        <v>51</v>
      </c>
    </row>
    <row r="9" spans="1:28" x14ac:dyDescent="0.3">
      <c r="A9" s="16" t="s">
        <v>48</v>
      </c>
      <c r="B9" s="16" t="s">
        <v>52</v>
      </c>
      <c r="C9" s="16">
        <v>200</v>
      </c>
      <c r="D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9" s="16">
        <v>50.8</v>
      </c>
      <c r="F9" s="16" t="str">
        <f>IF(electric_vehicles_spec_2025_csv[[#This Row],[battery_capacity_kWh]]&lt;=30, "0–30 kWh", IF(electric_vehicles_spec_2025_csv[[#This Row],[battery_capacity_kWh]]&lt;=60, "31–60 kWh", "61+ kWh"))</f>
        <v>31–60 kWh</v>
      </c>
      <c r="G9" s="16" t="s">
        <v>24</v>
      </c>
      <c r="H9" s="16">
        <v>102</v>
      </c>
      <c r="I9" s="16">
        <v>345</v>
      </c>
      <c r="J9" s="16">
        <v>164</v>
      </c>
      <c r="K9" s="16" t="str">
        <f t="shared" si="0"/>
        <v>161+ Wh/km</v>
      </c>
      <c r="L9" s="16">
        <v>310</v>
      </c>
      <c r="M9" s="16" t="str">
        <f>IF(electric_vehicles_spec_2025_csv[[#This Row],[range_km]]&lt;=200, "0–200 km",IF(electric_vehicles_spec_2025_csv[[#This Row],[range_km]]&lt;=400, "201–400 km", "401+ km"))</f>
        <v>201–400 km</v>
      </c>
      <c r="N9" s="16">
        <v>6</v>
      </c>
      <c r="O9" s="16" t="str">
        <f>IF(electric_vehicles_spec_2025_csv[[#This Row],[acceleration_0_100_s]]&lt;4,"0–3.9 s",IF(electric_vehicles_spec_2025_csv[[#This Row],[acceleration_0_100_s]]&lt;6,"4.0–5.9 s",IF(electric_vehicles_spec_2025_csv[[#This Row],[acceleration_0_100_s]]&lt;8,"6.0–7.9 s","8.0+ s")))</f>
        <v>6.0–7.9 s</v>
      </c>
      <c r="P9" s="16">
        <v>85</v>
      </c>
      <c r="Q9" s="16" t="str">
        <f>IF(electric_vehicles_spec_2025_csv[[#This Row],[fast_charging_power_kw_dc]]&lt;50,"0–49 kW",IF(electric_vehicles_spec_2025_csv[[#This Row],[fast_charging_power_kw_dc]]&lt;100,"50–99 kW",IF(electric_vehicles_spec_2025_csv[[#This Row],[fast_charging_power_kw_dc]]&lt;150,"100–149 kW","150+ kW")))</f>
        <v>50–99 kW</v>
      </c>
      <c r="R9" s="16" t="s">
        <v>25</v>
      </c>
      <c r="S9" s="16">
        <v>0</v>
      </c>
      <c r="T9" s="16" t="s">
        <v>50</v>
      </c>
      <c r="U9" s="16">
        <v>5</v>
      </c>
      <c r="V9" s="16" t="s">
        <v>27</v>
      </c>
      <c r="W9" s="16" t="s">
        <v>35</v>
      </c>
      <c r="X9" s="16">
        <v>4173</v>
      </c>
      <c r="Y9" s="16">
        <v>1781</v>
      </c>
      <c r="Z9" s="16">
        <v>1505</v>
      </c>
      <c r="AA9" s="16" t="s">
        <v>36</v>
      </c>
      <c r="AB9" s="16" t="s">
        <v>53</v>
      </c>
    </row>
    <row r="10" spans="1:28" x14ac:dyDescent="0.3">
      <c r="A10" s="16" t="s">
        <v>54</v>
      </c>
      <c r="B10" s="16" t="s">
        <v>55</v>
      </c>
      <c r="C10" s="16">
        <v>160</v>
      </c>
      <c r="D1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0" s="16">
        <v>52</v>
      </c>
      <c r="F10" s="16" t="str">
        <f>IF(electric_vehicles_spec_2025_csv[[#This Row],[battery_capacity_kWh]]&lt;=30, "0–30 kWh", IF(electric_vehicles_spec_2025_csv[[#This Row],[battery_capacity_kWh]]&lt;=60, "31–60 kWh", "61+ kWh"))</f>
        <v>31–60 kWh</v>
      </c>
      <c r="G10" s="16" t="s">
        <v>24</v>
      </c>
      <c r="H10" s="16">
        <v>184</v>
      </c>
      <c r="I10" s="16">
        <v>285</v>
      </c>
      <c r="J10" s="16">
        <v>138</v>
      </c>
      <c r="K10" s="16" t="str">
        <f t="shared" si="0"/>
        <v>131–160 Wh/km</v>
      </c>
      <c r="L10" s="16">
        <v>310</v>
      </c>
      <c r="M10" s="16" t="str">
        <f>IF(electric_vehicles_spec_2025_csv[[#This Row],[range_km]]&lt;=200, "0–200 km",IF(electric_vehicles_spec_2025_csv[[#This Row],[range_km]]&lt;=400, "201–400 km", "401+ km"))</f>
        <v>201–400 km</v>
      </c>
      <c r="N10" s="16">
        <v>7.4</v>
      </c>
      <c r="O10" s="16" t="str">
        <f>IF(electric_vehicles_spec_2025_csv[[#This Row],[acceleration_0_100_s]]&lt;4,"0–3.9 s",IF(electric_vehicles_spec_2025_csv[[#This Row],[acceleration_0_100_s]]&lt;6,"4.0–5.9 s",IF(electric_vehicles_spec_2025_csv[[#This Row],[acceleration_0_100_s]]&lt;8,"6.0–7.9 s","8.0+ s")))</f>
        <v>6.0–7.9 s</v>
      </c>
      <c r="P10" s="16">
        <v>70</v>
      </c>
      <c r="Q10" s="16" t="str">
        <f>IF(electric_vehicles_spec_2025_csv[[#This Row],[fast_charging_power_kw_dc]]&lt;50,"0–49 kW",IF(electric_vehicles_spec_2025_csv[[#This Row],[fast_charging_power_kw_dc]]&lt;100,"50–99 kW",IF(electric_vehicles_spec_2025_csv[[#This Row],[fast_charging_power_kw_dc]]&lt;150,"100–149 kW","150+ kW")))</f>
        <v>50–99 kW</v>
      </c>
      <c r="R10" s="16" t="s">
        <v>25</v>
      </c>
      <c r="S10" s="16">
        <v>500</v>
      </c>
      <c r="T10" s="16" t="s">
        <v>56</v>
      </c>
      <c r="U10" s="16">
        <v>5</v>
      </c>
      <c r="V10" s="16" t="s">
        <v>27</v>
      </c>
      <c r="W10" s="16" t="s">
        <v>28</v>
      </c>
      <c r="X10" s="16">
        <v>3997</v>
      </c>
      <c r="Y10" s="16">
        <v>1823</v>
      </c>
      <c r="Z10" s="16">
        <v>1512</v>
      </c>
      <c r="AA10" s="16" t="s">
        <v>29</v>
      </c>
      <c r="AB10" s="16" t="s">
        <v>57</v>
      </c>
    </row>
    <row r="11" spans="1:28" x14ac:dyDescent="0.3">
      <c r="A11" s="16" t="s">
        <v>54</v>
      </c>
      <c r="B11" s="16" t="s">
        <v>58</v>
      </c>
      <c r="C11" s="16">
        <v>170</v>
      </c>
      <c r="D1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1" s="16">
        <v>52</v>
      </c>
      <c r="F11" s="16" t="str">
        <f>IF(electric_vehicles_spec_2025_csv[[#This Row],[battery_capacity_kWh]]&lt;=30, "0–30 kWh", IF(electric_vehicles_spec_2025_csv[[#This Row],[battery_capacity_kWh]]&lt;=60, "31–60 kWh", "61+ kWh"))</f>
        <v>31–60 kWh</v>
      </c>
      <c r="G11" s="16" t="s">
        <v>24</v>
      </c>
      <c r="H11" s="16">
        <v>184</v>
      </c>
      <c r="I11" s="16">
        <v>300</v>
      </c>
      <c r="J11" s="16">
        <v>144</v>
      </c>
      <c r="K11" s="16" t="str">
        <f t="shared" si="0"/>
        <v>131–160 Wh/km</v>
      </c>
      <c r="L11" s="16">
        <v>305</v>
      </c>
      <c r="M11" s="16" t="str">
        <f>IF(electric_vehicles_spec_2025_csv[[#This Row],[range_km]]&lt;=200, "0–200 km",IF(electric_vehicles_spec_2025_csv[[#This Row],[range_km]]&lt;=400, "201–400 km", "401+ km"))</f>
        <v>201–400 km</v>
      </c>
      <c r="N11" s="16">
        <v>6.4</v>
      </c>
      <c r="O11" s="16" t="str">
        <f>IF(electric_vehicles_spec_2025_csv[[#This Row],[acceleration_0_100_s]]&lt;4,"0–3.9 s",IF(electric_vehicles_spec_2025_csv[[#This Row],[acceleration_0_100_s]]&lt;6,"4.0–5.9 s",IF(electric_vehicles_spec_2025_csv[[#This Row],[acceleration_0_100_s]]&lt;8,"6.0–7.9 s","8.0+ s")))</f>
        <v>6.0–7.9 s</v>
      </c>
      <c r="P11" s="16">
        <v>70</v>
      </c>
      <c r="Q11" s="16" t="str">
        <f>IF(electric_vehicles_spec_2025_csv[[#This Row],[fast_charging_power_kw_dc]]&lt;50,"0–49 kW",IF(electric_vehicles_spec_2025_csv[[#This Row],[fast_charging_power_kw_dc]]&lt;100,"50–99 kW",IF(electric_vehicles_spec_2025_csv[[#This Row],[fast_charging_power_kw_dc]]&lt;150,"100–149 kW","150+ kW")))</f>
        <v>50–99 kW</v>
      </c>
      <c r="R11" s="16" t="s">
        <v>25</v>
      </c>
      <c r="S11" s="16">
        <v>500</v>
      </c>
      <c r="T11" s="16" t="s">
        <v>56</v>
      </c>
      <c r="U11" s="16">
        <v>5</v>
      </c>
      <c r="V11" s="16" t="s">
        <v>27</v>
      </c>
      <c r="W11" s="16" t="s">
        <v>28</v>
      </c>
      <c r="X11" s="16">
        <v>3997</v>
      </c>
      <c r="Y11" s="16">
        <v>1823</v>
      </c>
      <c r="Z11" s="16">
        <v>1512</v>
      </c>
      <c r="AA11" s="16" t="s">
        <v>29</v>
      </c>
      <c r="AB11" s="16" t="s">
        <v>59</v>
      </c>
    </row>
    <row r="12" spans="1:28" x14ac:dyDescent="0.3">
      <c r="A12" s="16" t="s">
        <v>60</v>
      </c>
      <c r="B12" s="16" t="s">
        <v>61</v>
      </c>
      <c r="C12" s="16">
        <v>210</v>
      </c>
      <c r="D1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2" s="16">
        <v>75.8</v>
      </c>
      <c r="F12" s="16" t="str">
        <f>IF(electric_vehicles_spec_2025_csv[[#This Row],[battery_capacity_kWh]]&lt;=30, "0–30 kWh", IF(electric_vehicles_spec_2025_csv[[#This Row],[battery_capacity_kWh]]&lt;=60, "31–60 kWh", "61+ kWh"))</f>
        <v>61+ kWh</v>
      </c>
      <c r="G12" s="16" t="s">
        <v>24</v>
      </c>
      <c r="H12" s="16">
        <v>150</v>
      </c>
      <c r="I12" s="16">
        <v>435</v>
      </c>
      <c r="J12" s="16">
        <v>146</v>
      </c>
      <c r="K12" s="16" t="str">
        <f t="shared" si="0"/>
        <v>131–160 Wh/km</v>
      </c>
      <c r="L12" s="16">
        <v>465</v>
      </c>
      <c r="M12" s="16" t="str">
        <f>IF(electric_vehicles_spec_2025_csv[[#This Row],[range_km]]&lt;=200, "0–200 km",IF(electric_vehicles_spec_2025_csv[[#This Row],[range_km]]&lt;=400, "201–400 km", "401+ km"))</f>
        <v>401+ km</v>
      </c>
      <c r="N12" s="16">
        <v>6</v>
      </c>
      <c r="O12" s="16" t="str">
        <f>IF(electric_vehicles_spec_2025_csv[[#This Row],[acceleration_0_100_s]]&lt;4,"0–3.9 s",IF(electric_vehicles_spec_2025_csv[[#This Row],[acceleration_0_100_s]]&lt;6,"4.0–5.9 s",IF(electric_vehicles_spec_2025_csv[[#This Row],[acceleration_0_100_s]]&lt;8,"6.0–7.9 s","8.0+ s")))</f>
        <v>6.0–7.9 s</v>
      </c>
      <c r="P12" s="16">
        <v>150</v>
      </c>
      <c r="Q12" s="16" t="str">
        <f>IF(electric_vehicles_spec_2025_csv[[#This Row],[fast_charging_power_kw_dc]]&lt;50,"0–49 kW",IF(electric_vehicles_spec_2025_csv[[#This Row],[fast_charging_power_kw_dc]]&lt;100,"50–99 kW",IF(electric_vehicles_spec_2025_csv[[#This Row],[fast_charging_power_kw_dc]]&lt;150,"100–149 kW","150+ kW")))</f>
        <v>150+ kW</v>
      </c>
      <c r="R12" s="16" t="s">
        <v>25</v>
      </c>
      <c r="S12" s="16">
        <v>2100</v>
      </c>
      <c r="T12" s="16" t="s">
        <v>62</v>
      </c>
      <c r="U12" s="16">
        <v>5</v>
      </c>
      <c r="V12" s="16" t="s">
        <v>63</v>
      </c>
      <c r="W12" s="16" t="s">
        <v>64</v>
      </c>
      <c r="X12" s="16">
        <v>4928</v>
      </c>
      <c r="Y12" s="16">
        <v>1923</v>
      </c>
      <c r="Z12" s="16">
        <v>1455</v>
      </c>
      <c r="AA12" s="16" t="s">
        <v>65</v>
      </c>
      <c r="AB12" s="16" t="s">
        <v>66</v>
      </c>
    </row>
    <row r="13" spans="1:28" x14ac:dyDescent="0.3">
      <c r="A13" s="16" t="s">
        <v>60</v>
      </c>
      <c r="B13" s="16" t="s">
        <v>67</v>
      </c>
      <c r="C13" s="16">
        <v>210</v>
      </c>
      <c r="D1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3" s="16">
        <v>94.9</v>
      </c>
      <c r="F13" s="16" t="str">
        <f>IF(electric_vehicles_spec_2025_csv[[#This Row],[battery_capacity_kWh]]&lt;=30, "0–30 kWh", IF(electric_vehicles_spec_2025_csv[[#This Row],[battery_capacity_kWh]]&lt;=60, "31–60 kWh", "61+ kWh"))</f>
        <v>61+ kWh</v>
      </c>
      <c r="G13" s="16" t="s">
        <v>24</v>
      </c>
      <c r="H13" s="16">
        <v>180</v>
      </c>
      <c r="I13" s="16">
        <v>565</v>
      </c>
      <c r="J13" s="16">
        <v>151</v>
      </c>
      <c r="K13" s="16" t="str">
        <f t="shared" si="0"/>
        <v>131–160 Wh/km</v>
      </c>
      <c r="L13" s="16">
        <v>575</v>
      </c>
      <c r="M13" s="16" t="str">
        <f>IF(electric_vehicles_spec_2025_csv[[#This Row],[range_km]]&lt;=200, "0–200 km",IF(electric_vehicles_spec_2025_csv[[#This Row],[range_km]]&lt;=400, "201–400 km", "401+ km"))</f>
        <v>401+ km</v>
      </c>
      <c r="N13" s="16">
        <v>5.4</v>
      </c>
      <c r="O13" s="16" t="str">
        <f>IF(electric_vehicles_spec_2025_csv[[#This Row],[acceleration_0_100_s]]&lt;4,"0–3.9 s",IF(electric_vehicles_spec_2025_csv[[#This Row],[acceleration_0_100_s]]&lt;6,"4.0–5.9 s",IF(electric_vehicles_spec_2025_csv[[#This Row],[acceleration_0_100_s]]&lt;8,"6.0–7.9 s","8.0+ s")))</f>
        <v>4.0–5.9 s</v>
      </c>
      <c r="P13" s="16">
        <v>200</v>
      </c>
      <c r="Q13" s="16" t="str">
        <f>IF(electric_vehicles_spec_2025_csv[[#This Row],[fast_charging_power_kw_dc]]&lt;50,"0–49 kW",IF(electric_vehicles_spec_2025_csv[[#This Row],[fast_charging_power_kw_dc]]&lt;100,"50–99 kW",IF(electric_vehicles_spec_2025_csv[[#This Row],[fast_charging_power_kw_dc]]&lt;150,"100–149 kW","150+ kW")))</f>
        <v>150+ kW</v>
      </c>
      <c r="R13" s="16" t="s">
        <v>25</v>
      </c>
      <c r="S13" s="16">
        <v>2100</v>
      </c>
      <c r="T13" s="16" t="s">
        <v>62</v>
      </c>
      <c r="U13" s="16">
        <v>5</v>
      </c>
      <c r="V13" s="16" t="s">
        <v>63</v>
      </c>
      <c r="W13" s="16" t="s">
        <v>64</v>
      </c>
      <c r="X13" s="16">
        <v>4928</v>
      </c>
      <c r="Y13" s="16">
        <v>1923</v>
      </c>
      <c r="Z13" s="16">
        <v>1455</v>
      </c>
      <c r="AA13" s="16" t="s">
        <v>65</v>
      </c>
      <c r="AB13" s="16" t="s">
        <v>68</v>
      </c>
    </row>
    <row r="14" spans="1:28" x14ac:dyDescent="0.3">
      <c r="A14" s="16" t="s">
        <v>60</v>
      </c>
      <c r="B14" s="16" t="s">
        <v>69</v>
      </c>
      <c r="C14" s="16">
        <v>210</v>
      </c>
      <c r="D1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4" s="16">
        <v>94.9</v>
      </c>
      <c r="F14" s="16" t="str">
        <f>IF(electric_vehicles_spec_2025_csv[[#This Row],[battery_capacity_kWh]]&lt;=30, "0–30 kWh", IF(electric_vehicles_spec_2025_csv[[#This Row],[battery_capacity_kWh]]&lt;=60, "31–60 kWh", "61+ kWh"))</f>
        <v>61+ kWh</v>
      </c>
      <c r="G14" s="16" t="s">
        <v>24</v>
      </c>
      <c r="H14" s="16">
        <v>180</v>
      </c>
      <c r="I14" s="16">
        <v>855</v>
      </c>
      <c r="J14" s="16">
        <v>157</v>
      </c>
      <c r="K14" s="16" t="str">
        <f t="shared" si="0"/>
        <v>131–160 Wh/km</v>
      </c>
      <c r="L14" s="16">
        <v>560</v>
      </c>
      <c r="M14" s="16" t="str">
        <f>IF(electric_vehicles_spec_2025_csv[[#This Row],[range_km]]&lt;=200, "0–200 km",IF(electric_vehicles_spec_2025_csv[[#This Row],[range_km]]&lt;=400, "201–400 km", "401+ km"))</f>
        <v>401+ km</v>
      </c>
      <c r="N14" s="16">
        <v>4.5</v>
      </c>
      <c r="O14" s="16" t="str">
        <f>IF(electric_vehicles_spec_2025_csv[[#This Row],[acceleration_0_100_s]]&lt;4,"0–3.9 s",IF(electric_vehicles_spec_2025_csv[[#This Row],[acceleration_0_100_s]]&lt;6,"4.0–5.9 s",IF(electric_vehicles_spec_2025_csv[[#This Row],[acceleration_0_100_s]]&lt;8,"6.0–7.9 s","8.0+ s")))</f>
        <v>4.0–5.9 s</v>
      </c>
      <c r="P14" s="16">
        <v>200</v>
      </c>
      <c r="Q14" s="16" t="str">
        <f>IF(electric_vehicles_spec_2025_csv[[#This Row],[fast_charging_power_kw_dc]]&lt;50,"0–49 kW",IF(electric_vehicles_spec_2025_csv[[#This Row],[fast_charging_power_kw_dc]]&lt;100,"50–99 kW",IF(electric_vehicles_spec_2025_csv[[#This Row],[fast_charging_power_kw_dc]]&lt;150,"100–149 kW","150+ kW")))</f>
        <v>150+ kW</v>
      </c>
      <c r="R14" s="16" t="s">
        <v>25</v>
      </c>
      <c r="S14" s="16">
        <v>2100</v>
      </c>
      <c r="T14" s="16" t="s">
        <v>62</v>
      </c>
      <c r="U14" s="16">
        <v>5</v>
      </c>
      <c r="V14" s="16" t="s">
        <v>70</v>
      </c>
      <c r="W14" s="16" t="s">
        <v>64</v>
      </c>
      <c r="X14" s="16">
        <v>4928</v>
      </c>
      <c r="Y14" s="16">
        <v>1923</v>
      </c>
      <c r="Z14" s="16">
        <v>1455</v>
      </c>
      <c r="AA14" s="16" t="s">
        <v>65</v>
      </c>
      <c r="AB14" s="16" t="s">
        <v>71</v>
      </c>
    </row>
    <row r="15" spans="1:28" x14ac:dyDescent="0.3">
      <c r="A15" s="16" t="s">
        <v>60</v>
      </c>
      <c r="B15" s="16" t="s">
        <v>72</v>
      </c>
      <c r="C15" s="16">
        <v>210</v>
      </c>
      <c r="D1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5" s="16">
        <v>75.8</v>
      </c>
      <c r="F15" s="16" t="str">
        <f>IF(electric_vehicles_spec_2025_csv[[#This Row],[battery_capacity_kWh]]&lt;=30, "0–30 kWh", IF(electric_vehicles_spec_2025_csv[[#This Row],[battery_capacity_kWh]]&lt;=60, "31–60 kWh", "61+ kWh"))</f>
        <v>61+ kWh</v>
      </c>
      <c r="G15" s="16" t="s">
        <v>24</v>
      </c>
      <c r="H15" s="16">
        <v>150</v>
      </c>
      <c r="I15" s="16">
        <v>435</v>
      </c>
      <c r="J15" s="16">
        <v>136</v>
      </c>
      <c r="K15" s="16" t="str">
        <f t="shared" si="0"/>
        <v>131–160 Wh/km</v>
      </c>
      <c r="L15" s="16">
        <v>495</v>
      </c>
      <c r="M15" s="16" t="str">
        <f>IF(electric_vehicles_spec_2025_csv[[#This Row],[range_km]]&lt;=200, "0–200 km",IF(electric_vehicles_spec_2025_csv[[#This Row],[range_km]]&lt;=400, "201–400 km", "401+ km"))</f>
        <v>401+ km</v>
      </c>
      <c r="N15" s="16">
        <v>6</v>
      </c>
      <c r="O15" s="16" t="str">
        <f>IF(electric_vehicles_spec_2025_csv[[#This Row],[acceleration_0_100_s]]&lt;4,"0–3.9 s",IF(electric_vehicles_spec_2025_csv[[#This Row],[acceleration_0_100_s]]&lt;6,"4.0–5.9 s",IF(electric_vehicles_spec_2025_csv[[#This Row],[acceleration_0_100_s]]&lt;8,"6.0–7.9 s","8.0+ s")))</f>
        <v>6.0–7.9 s</v>
      </c>
      <c r="P15" s="16">
        <v>150</v>
      </c>
      <c r="Q15" s="16" t="str">
        <f>IF(electric_vehicles_spec_2025_csv[[#This Row],[fast_charging_power_kw_dc]]&lt;50,"0–49 kW",IF(electric_vehicles_spec_2025_csv[[#This Row],[fast_charging_power_kw_dc]]&lt;100,"50–99 kW",IF(electric_vehicles_spec_2025_csv[[#This Row],[fast_charging_power_kw_dc]]&lt;150,"100–149 kW","150+ kW")))</f>
        <v>150+ kW</v>
      </c>
      <c r="R15" s="16" t="s">
        <v>25</v>
      </c>
      <c r="S15" s="16">
        <v>2100</v>
      </c>
      <c r="T15" s="16" t="s">
        <v>62</v>
      </c>
      <c r="U15" s="16">
        <v>5</v>
      </c>
      <c r="V15" s="16" t="s">
        <v>63</v>
      </c>
      <c r="W15" s="16" t="s">
        <v>64</v>
      </c>
      <c r="X15" s="16">
        <v>4928</v>
      </c>
      <c r="Y15" s="16">
        <v>1923</v>
      </c>
      <c r="Z15" s="16">
        <v>1455</v>
      </c>
      <c r="AA15" s="16" t="s">
        <v>73</v>
      </c>
      <c r="AB15" s="16" t="s">
        <v>74</v>
      </c>
    </row>
    <row r="16" spans="1:28" x14ac:dyDescent="0.3">
      <c r="A16" s="16" t="s">
        <v>60</v>
      </c>
      <c r="B16" s="16" t="s">
        <v>75</v>
      </c>
      <c r="C16" s="16">
        <v>210</v>
      </c>
      <c r="D1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6" s="16">
        <v>94.9</v>
      </c>
      <c r="F16" s="16" t="str">
        <f>IF(electric_vehicles_spec_2025_csv[[#This Row],[battery_capacity_kWh]]&lt;=30, "0–30 kWh", IF(electric_vehicles_spec_2025_csv[[#This Row],[battery_capacity_kWh]]&lt;=60, "31–60 kWh", "61+ kWh"))</f>
        <v>61+ kWh</v>
      </c>
      <c r="G16" s="16" t="s">
        <v>24</v>
      </c>
      <c r="H16" s="16">
        <v>180</v>
      </c>
      <c r="I16" s="16">
        <v>565</v>
      </c>
      <c r="J16" s="16">
        <v>141</v>
      </c>
      <c r="K16" s="16" t="str">
        <f t="shared" si="0"/>
        <v>131–160 Wh/km</v>
      </c>
      <c r="L16" s="16">
        <v>610</v>
      </c>
      <c r="M16" s="16" t="str">
        <f>IF(electric_vehicles_spec_2025_csv[[#This Row],[range_km]]&lt;=200, "0–200 km",IF(electric_vehicles_spec_2025_csv[[#This Row],[range_km]]&lt;=400, "201–400 km", "401+ km"))</f>
        <v>401+ km</v>
      </c>
      <c r="N16" s="16">
        <v>5.4</v>
      </c>
      <c r="O16" s="16" t="str">
        <f>IF(electric_vehicles_spec_2025_csv[[#This Row],[acceleration_0_100_s]]&lt;4,"0–3.9 s",IF(electric_vehicles_spec_2025_csv[[#This Row],[acceleration_0_100_s]]&lt;6,"4.0–5.9 s",IF(electric_vehicles_spec_2025_csv[[#This Row],[acceleration_0_100_s]]&lt;8,"6.0–7.9 s","8.0+ s")))</f>
        <v>4.0–5.9 s</v>
      </c>
      <c r="P16" s="16">
        <v>200</v>
      </c>
      <c r="Q16" s="16" t="str">
        <f>IF(electric_vehicles_spec_2025_csv[[#This Row],[fast_charging_power_kw_dc]]&lt;50,"0–49 kW",IF(electric_vehicles_spec_2025_csv[[#This Row],[fast_charging_power_kw_dc]]&lt;100,"50–99 kW",IF(electric_vehicles_spec_2025_csv[[#This Row],[fast_charging_power_kw_dc]]&lt;150,"100–149 kW","150+ kW")))</f>
        <v>150+ kW</v>
      </c>
      <c r="R16" s="16" t="s">
        <v>25</v>
      </c>
      <c r="S16" s="16">
        <v>2100</v>
      </c>
      <c r="T16" s="16" t="s">
        <v>62</v>
      </c>
      <c r="U16" s="16">
        <v>5</v>
      </c>
      <c r="V16" s="16" t="s">
        <v>63</v>
      </c>
      <c r="W16" s="16" t="s">
        <v>64</v>
      </c>
      <c r="X16" s="16">
        <v>4928</v>
      </c>
      <c r="Y16" s="16">
        <v>1923</v>
      </c>
      <c r="Z16" s="16">
        <v>1455</v>
      </c>
      <c r="AA16" s="16" t="s">
        <v>73</v>
      </c>
      <c r="AB16" s="16" t="s">
        <v>76</v>
      </c>
    </row>
    <row r="17" spans="1:28" x14ac:dyDescent="0.3">
      <c r="A17" s="16" t="s">
        <v>60</v>
      </c>
      <c r="B17" s="16" t="s">
        <v>77</v>
      </c>
      <c r="C17" s="16">
        <v>210</v>
      </c>
      <c r="D1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7" s="16">
        <v>94.9</v>
      </c>
      <c r="F17" s="16" t="str">
        <f>IF(electric_vehicles_spec_2025_csv[[#This Row],[battery_capacity_kWh]]&lt;=30, "0–30 kWh", IF(electric_vehicles_spec_2025_csv[[#This Row],[battery_capacity_kWh]]&lt;=60, "31–60 kWh", "61+ kWh"))</f>
        <v>61+ kWh</v>
      </c>
      <c r="G17" s="16" t="s">
        <v>24</v>
      </c>
      <c r="H17" s="16">
        <v>180</v>
      </c>
      <c r="I17" s="16">
        <v>855</v>
      </c>
      <c r="J17" s="16">
        <v>147</v>
      </c>
      <c r="K17" s="16" t="str">
        <f t="shared" si="0"/>
        <v>131–160 Wh/km</v>
      </c>
      <c r="L17" s="16">
        <v>590</v>
      </c>
      <c r="M17" s="16" t="str">
        <f>IF(electric_vehicles_spec_2025_csv[[#This Row],[range_km]]&lt;=200, "0–200 km",IF(electric_vehicles_spec_2025_csv[[#This Row],[range_km]]&lt;=400, "201–400 km", "401+ km"))</f>
        <v>401+ km</v>
      </c>
      <c r="N17" s="16">
        <v>4.7</v>
      </c>
      <c r="O17" s="16" t="str">
        <f>IF(electric_vehicles_spec_2025_csv[[#This Row],[acceleration_0_100_s]]&lt;4,"0–3.9 s",IF(electric_vehicles_spec_2025_csv[[#This Row],[acceleration_0_100_s]]&lt;6,"4.0–5.9 s",IF(electric_vehicles_spec_2025_csv[[#This Row],[acceleration_0_100_s]]&lt;8,"6.0–7.9 s","8.0+ s")))</f>
        <v>4.0–5.9 s</v>
      </c>
      <c r="P17" s="16">
        <v>200</v>
      </c>
      <c r="Q17" s="16" t="str">
        <f>IF(electric_vehicles_spec_2025_csv[[#This Row],[fast_charging_power_kw_dc]]&lt;50,"0–49 kW",IF(electric_vehicles_spec_2025_csv[[#This Row],[fast_charging_power_kw_dc]]&lt;100,"50–99 kW",IF(electric_vehicles_spec_2025_csv[[#This Row],[fast_charging_power_kw_dc]]&lt;150,"100–149 kW","150+ kW")))</f>
        <v>150+ kW</v>
      </c>
      <c r="R17" s="16" t="s">
        <v>25</v>
      </c>
      <c r="S17" s="16">
        <v>2100</v>
      </c>
      <c r="T17" s="16" t="s">
        <v>62</v>
      </c>
      <c r="U17" s="16">
        <v>5</v>
      </c>
      <c r="V17" s="16" t="s">
        <v>70</v>
      </c>
      <c r="W17" s="16" t="s">
        <v>64</v>
      </c>
      <c r="X17" s="16">
        <v>4928</v>
      </c>
      <c r="Y17" s="16">
        <v>1923</v>
      </c>
      <c r="Z17" s="16">
        <v>1455</v>
      </c>
      <c r="AA17" s="16" t="s">
        <v>73</v>
      </c>
      <c r="AB17" s="16" t="s">
        <v>78</v>
      </c>
    </row>
    <row r="18" spans="1:28" x14ac:dyDescent="0.3">
      <c r="A18" s="16" t="s">
        <v>60</v>
      </c>
      <c r="B18" s="16" t="s">
        <v>79</v>
      </c>
      <c r="C18" s="16">
        <v>160</v>
      </c>
      <c r="D1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8" s="16">
        <v>59</v>
      </c>
      <c r="F18" s="16" t="str">
        <f>IF(electric_vehicles_spec_2025_csv[[#This Row],[battery_capacity_kWh]]&lt;=30, "0–30 kWh", IF(electric_vehicles_spec_2025_csv[[#This Row],[battery_capacity_kWh]]&lt;=60, "31–60 kWh", "61+ kWh"))</f>
        <v>31–60 kWh</v>
      </c>
      <c r="G18" s="16" t="s">
        <v>24</v>
      </c>
      <c r="H18" s="16">
        <v>216</v>
      </c>
      <c r="I18" s="16">
        <v>310</v>
      </c>
      <c r="J18" s="16">
        <v>156</v>
      </c>
      <c r="K18" s="16" t="str">
        <f t="shared" si="0"/>
        <v>131–160 Wh/km</v>
      </c>
      <c r="L18" s="16">
        <v>340</v>
      </c>
      <c r="M18" s="16" t="str">
        <f>IF(electric_vehicles_spec_2025_csv[[#This Row],[range_km]]&lt;=200, "0–200 km",IF(electric_vehicles_spec_2025_csv[[#This Row],[range_km]]&lt;=400, "201–400 km", "401+ km"))</f>
        <v>201–400 km</v>
      </c>
      <c r="N18" s="16">
        <v>8.1</v>
      </c>
      <c r="O18" s="16" t="str">
        <f>IF(electric_vehicles_spec_2025_csv[[#This Row],[acceleration_0_100_s]]&lt;4,"0–3.9 s",IF(electric_vehicles_spec_2025_csv[[#This Row],[acceleration_0_100_s]]&lt;6,"4.0–5.9 s",IF(electric_vehicles_spec_2025_csv[[#This Row],[acceleration_0_100_s]]&lt;8,"6.0–7.9 s","8.0+ s")))</f>
        <v>8.0+ s</v>
      </c>
      <c r="P18" s="16">
        <v>110</v>
      </c>
      <c r="Q18" s="16" t="str">
        <f>IF(electric_vehicles_spec_2025_csv[[#This Row],[fast_charging_power_kw_dc]]&lt;50,"0–49 kW",IF(electric_vehicles_spec_2025_csv[[#This Row],[fast_charging_power_kw_dc]]&lt;100,"50–99 kW",IF(electric_vehicles_spec_2025_csv[[#This Row],[fast_charging_power_kw_dc]]&lt;150,"100–149 kW","150+ kW")))</f>
        <v>100–149 kW</v>
      </c>
      <c r="R18" s="16" t="s">
        <v>25</v>
      </c>
      <c r="S18" s="16">
        <v>1000</v>
      </c>
      <c r="T18" s="16" t="s">
        <v>80</v>
      </c>
      <c r="U18" s="16">
        <v>5</v>
      </c>
      <c r="V18" s="16" t="s">
        <v>63</v>
      </c>
      <c r="W18" s="16" t="s">
        <v>43</v>
      </c>
      <c r="X18" s="16">
        <v>4588</v>
      </c>
      <c r="Y18" s="16">
        <v>1865</v>
      </c>
      <c r="Z18" s="16">
        <v>1614</v>
      </c>
      <c r="AA18" s="16" t="s">
        <v>36</v>
      </c>
      <c r="AB18" s="16" t="s">
        <v>81</v>
      </c>
    </row>
    <row r="19" spans="1:28" x14ac:dyDescent="0.3">
      <c r="A19" s="16" t="s">
        <v>60</v>
      </c>
      <c r="B19" s="16" t="s">
        <v>82</v>
      </c>
      <c r="C19" s="16">
        <v>180</v>
      </c>
      <c r="D1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9" s="16">
        <v>77</v>
      </c>
      <c r="F19" s="16" t="str">
        <f>IF(electric_vehicles_spec_2025_csv[[#This Row],[battery_capacity_kWh]]&lt;=30, "0–30 kWh", IF(electric_vehicles_spec_2025_csv[[#This Row],[battery_capacity_kWh]]&lt;=60, "31–60 kWh", "61+ kWh"))</f>
        <v>61+ kWh</v>
      </c>
      <c r="G19" s="16" t="s">
        <v>24</v>
      </c>
      <c r="H19" s="16">
        <v>288</v>
      </c>
      <c r="I19" s="16">
        <v>545</v>
      </c>
      <c r="J19" s="16">
        <v>162</v>
      </c>
      <c r="K19" s="16" t="str">
        <f t="shared" si="0"/>
        <v>161+ Wh/km</v>
      </c>
      <c r="L19" s="16">
        <v>435</v>
      </c>
      <c r="M19" s="16" t="str">
        <f>IF(electric_vehicles_spec_2025_csv[[#This Row],[range_km]]&lt;=200, "0–200 km",IF(electric_vehicles_spec_2025_csv[[#This Row],[range_km]]&lt;=400, "201–400 km", "401+ km"))</f>
        <v>401+ km</v>
      </c>
      <c r="N19" s="16">
        <v>6.7</v>
      </c>
      <c r="O19" s="16" t="str">
        <f>IF(electric_vehicles_spec_2025_csv[[#This Row],[acceleration_0_100_s]]&lt;4,"0–3.9 s",IF(electric_vehicles_spec_2025_csv[[#This Row],[acceleration_0_100_s]]&lt;6,"4.0–5.9 s",IF(electric_vehicles_spec_2025_csv[[#This Row],[acceleration_0_100_s]]&lt;8,"6.0–7.9 s","8.0+ s")))</f>
        <v>6.0–7.9 s</v>
      </c>
      <c r="P19" s="16">
        <v>120</v>
      </c>
      <c r="Q19" s="16" t="str">
        <f>IF(electric_vehicles_spec_2025_csv[[#This Row],[fast_charging_power_kw_dc]]&lt;50,"0–49 kW",IF(electric_vehicles_spec_2025_csv[[#This Row],[fast_charging_power_kw_dc]]&lt;100,"50–99 kW",IF(electric_vehicles_spec_2025_csv[[#This Row],[fast_charging_power_kw_dc]]&lt;150,"100–149 kW","150+ kW")))</f>
        <v>100–149 kW</v>
      </c>
      <c r="R19" s="16" t="s">
        <v>25</v>
      </c>
      <c r="S19" s="16">
        <v>1000</v>
      </c>
      <c r="T19" s="16" t="s">
        <v>83</v>
      </c>
      <c r="U19" s="16">
        <v>5</v>
      </c>
      <c r="V19" s="16" t="s">
        <v>63</v>
      </c>
      <c r="W19" s="16" t="s">
        <v>43</v>
      </c>
      <c r="X19" s="16">
        <v>4588</v>
      </c>
      <c r="Y19" s="16">
        <v>1865</v>
      </c>
      <c r="Z19" s="16">
        <v>1614</v>
      </c>
      <c r="AA19" s="16" t="s">
        <v>36</v>
      </c>
      <c r="AB19" s="16" t="s">
        <v>84</v>
      </c>
    </row>
    <row r="20" spans="1:28" x14ac:dyDescent="0.3">
      <c r="A20" s="16" t="s">
        <v>60</v>
      </c>
      <c r="B20" s="16" t="s">
        <v>85</v>
      </c>
      <c r="C20" s="16">
        <v>180</v>
      </c>
      <c r="D2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0" s="16">
        <v>77</v>
      </c>
      <c r="F20" s="16" t="str">
        <f>IF(electric_vehicles_spec_2025_csv[[#This Row],[battery_capacity_kWh]]&lt;=30, "0–30 kWh", IF(electric_vehicles_spec_2025_csv[[#This Row],[battery_capacity_kWh]]&lt;=60, "31–60 kWh", "61+ kWh"))</f>
        <v>61+ kWh</v>
      </c>
      <c r="G20" s="16" t="s">
        <v>24</v>
      </c>
      <c r="H20" s="16">
        <v>288</v>
      </c>
      <c r="I20" s="16">
        <v>679</v>
      </c>
      <c r="J20" s="16">
        <v>165</v>
      </c>
      <c r="K20" s="16" t="str">
        <f t="shared" si="0"/>
        <v>161+ Wh/km</v>
      </c>
      <c r="L20" s="16">
        <v>410</v>
      </c>
      <c r="M20" s="16" t="str">
        <f>IF(electric_vehicles_spec_2025_csv[[#This Row],[range_km]]&lt;=200, "0–200 km",IF(electric_vehicles_spec_2025_csv[[#This Row],[range_km]]&lt;=400, "201–400 km", "401+ km"))</f>
        <v>401+ km</v>
      </c>
      <c r="N20" s="16">
        <v>6.6</v>
      </c>
      <c r="O20" s="16" t="str">
        <f>IF(electric_vehicles_spec_2025_csv[[#This Row],[acceleration_0_100_s]]&lt;4,"0–3.9 s",IF(electric_vehicles_spec_2025_csv[[#This Row],[acceleration_0_100_s]]&lt;6,"4.0–5.9 s",IF(electric_vehicles_spec_2025_csv[[#This Row],[acceleration_0_100_s]]&lt;8,"6.0–7.9 s","8.0+ s")))</f>
        <v>6.0–7.9 s</v>
      </c>
      <c r="P20" s="16">
        <v>120</v>
      </c>
      <c r="Q20" s="16" t="str">
        <f>IF(electric_vehicles_spec_2025_csv[[#This Row],[fast_charging_power_kw_dc]]&lt;50,"0–49 kW",IF(electric_vehicles_spec_2025_csv[[#This Row],[fast_charging_power_kw_dc]]&lt;100,"50–99 kW",IF(electric_vehicles_spec_2025_csv[[#This Row],[fast_charging_power_kw_dc]]&lt;150,"100–149 kW","150+ kW")))</f>
        <v>100–149 kW</v>
      </c>
      <c r="R20" s="16" t="s">
        <v>25</v>
      </c>
      <c r="S20" s="16">
        <v>1200</v>
      </c>
      <c r="T20" s="16" t="s">
        <v>83</v>
      </c>
      <c r="U20" s="16">
        <v>5</v>
      </c>
      <c r="V20" s="16" t="s">
        <v>70</v>
      </c>
      <c r="W20" s="16" t="s">
        <v>43</v>
      </c>
      <c r="X20" s="16">
        <v>4588</v>
      </c>
      <c r="Y20" s="16">
        <v>1865</v>
      </c>
      <c r="Z20" s="16">
        <v>1614</v>
      </c>
      <c r="AA20" s="16" t="s">
        <v>36</v>
      </c>
      <c r="AB20" s="16" t="s">
        <v>86</v>
      </c>
    </row>
    <row r="21" spans="1:28" x14ac:dyDescent="0.3">
      <c r="A21" s="16" t="s">
        <v>60</v>
      </c>
      <c r="B21" s="16" t="s">
        <v>87</v>
      </c>
      <c r="C21" s="16">
        <v>180</v>
      </c>
      <c r="D2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1" s="16">
        <v>77</v>
      </c>
      <c r="F21" s="16" t="str">
        <f>IF(electric_vehicles_spec_2025_csv[[#This Row],[battery_capacity_kWh]]&lt;=30, "0–30 kWh", IF(electric_vehicles_spec_2025_csv[[#This Row],[battery_capacity_kWh]]&lt;=60, "31–60 kWh", "61+ kWh"))</f>
        <v>61+ kWh</v>
      </c>
      <c r="G21" s="16" t="s">
        <v>24</v>
      </c>
      <c r="H21" s="16">
        <v>288</v>
      </c>
      <c r="I21" s="16">
        <v>679</v>
      </c>
      <c r="J21" s="16">
        <v>165</v>
      </c>
      <c r="K21" s="16" t="str">
        <f t="shared" si="0"/>
        <v>161+ Wh/km</v>
      </c>
      <c r="L21" s="16">
        <v>415</v>
      </c>
      <c r="M21" s="16" t="str">
        <f>IF(electric_vehicles_spec_2025_csv[[#This Row],[range_km]]&lt;=200, "0–200 km",IF(electric_vehicles_spec_2025_csv[[#This Row],[range_km]]&lt;=400, "201–400 km", "401+ km"))</f>
        <v>401+ km</v>
      </c>
      <c r="N21" s="16">
        <v>5.4</v>
      </c>
      <c r="O21" s="16" t="str">
        <f>IF(electric_vehicles_spec_2025_csv[[#This Row],[acceleration_0_100_s]]&lt;4,"0–3.9 s",IF(electric_vehicles_spec_2025_csv[[#This Row],[acceleration_0_100_s]]&lt;6,"4.0–5.9 s",IF(electric_vehicles_spec_2025_csv[[#This Row],[acceleration_0_100_s]]&lt;8,"6.0–7.9 s","8.0+ s")))</f>
        <v>4.0–5.9 s</v>
      </c>
      <c r="P21" s="16">
        <v>120</v>
      </c>
      <c r="Q21" s="16" t="str">
        <f>IF(electric_vehicles_spec_2025_csv[[#This Row],[fast_charging_power_kw_dc]]&lt;50,"0–49 kW",IF(electric_vehicles_spec_2025_csv[[#This Row],[fast_charging_power_kw_dc]]&lt;100,"50–99 kW",IF(electric_vehicles_spec_2025_csv[[#This Row],[fast_charging_power_kw_dc]]&lt;150,"100–149 kW","150+ kW")))</f>
        <v>100–149 kW</v>
      </c>
      <c r="R21" s="16" t="s">
        <v>25</v>
      </c>
      <c r="S21" s="16">
        <v>1200</v>
      </c>
      <c r="T21" s="16" t="s">
        <v>83</v>
      </c>
      <c r="U21" s="16">
        <v>5</v>
      </c>
      <c r="V21" s="16" t="s">
        <v>70</v>
      </c>
      <c r="W21" s="16" t="s">
        <v>43</v>
      </c>
      <c r="X21" s="16">
        <v>4588</v>
      </c>
      <c r="Y21" s="16">
        <v>1865</v>
      </c>
      <c r="Z21" s="16">
        <v>1614</v>
      </c>
      <c r="AA21" s="16" t="s">
        <v>36</v>
      </c>
      <c r="AB21" s="16" t="s">
        <v>88</v>
      </c>
    </row>
    <row r="22" spans="1:28" x14ac:dyDescent="0.3">
      <c r="A22" s="16" t="s">
        <v>60</v>
      </c>
      <c r="B22" s="16" t="s">
        <v>89</v>
      </c>
      <c r="C22" s="16">
        <v>160</v>
      </c>
      <c r="D2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 s="16">
        <v>59</v>
      </c>
      <c r="F22" s="16" t="str">
        <f>IF(electric_vehicles_spec_2025_csv[[#This Row],[battery_capacity_kWh]]&lt;=30, "0–30 kWh", IF(electric_vehicles_spec_2025_csv[[#This Row],[battery_capacity_kWh]]&lt;=60, "31–60 kWh", "61+ kWh"))</f>
        <v>31–60 kWh</v>
      </c>
      <c r="G22" s="16" t="s">
        <v>24</v>
      </c>
      <c r="H22" s="16">
        <v>216</v>
      </c>
      <c r="I22" s="16">
        <v>310</v>
      </c>
      <c r="J22" s="16">
        <v>159</v>
      </c>
      <c r="K22" s="16" t="str">
        <f t="shared" si="0"/>
        <v>131–160 Wh/km</v>
      </c>
      <c r="L22" s="16">
        <v>325</v>
      </c>
      <c r="M22" s="16" t="str">
        <f>IF(electric_vehicles_spec_2025_csv[[#This Row],[range_km]]&lt;=200, "0–200 km",IF(electric_vehicles_spec_2025_csv[[#This Row],[range_km]]&lt;=400, "201–400 km", "401+ km"))</f>
        <v>201–400 km</v>
      </c>
      <c r="N22" s="16">
        <v>8.1</v>
      </c>
      <c r="O22" s="16" t="str">
        <f>IF(electric_vehicles_spec_2025_csv[[#This Row],[acceleration_0_100_s]]&lt;4,"0–3.9 s",IF(electric_vehicles_spec_2025_csv[[#This Row],[acceleration_0_100_s]]&lt;6,"4.0–5.9 s",IF(electric_vehicles_spec_2025_csv[[#This Row],[acceleration_0_100_s]]&lt;8,"6.0–7.9 s","8.0+ s")))</f>
        <v>8.0+ s</v>
      </c>
      <c r="P22" s="16">
        <v>110</v>
      </c>
      <c r="Q22" s="16" t="str">
        <f>IF(electric_vehicles_spec_2025_csv[[#This Row],[fast_charging_power_kw_dc]]&lt;50,"0–49 kW",IF(electric_vehicles_spec_2025_csv[[#This Row],[fast_charging_power_kw_dc]]&lt;100,"50–99 kW",IF(electric_vehicles_spec_2025_csv[[#This Row],[fast_charging_power_kw_dc]]&lt;150,"100–149 kW","150+ kW")))</f>
        <v>100–149 kW</v>
      </c>
      <c r="R22" s="16" t="s">
        <v>25</v>
      </c>
      <c r="S22" s="16">
        <v>1000</v>
      </c>
      <c r="T22" s="16" t="s">
        <v>80</v>
      </c>
      <c r="U22" s="16">
        <v>5</v>
      </c>
      <c r="V22" s="16" t="s">
        <v>63</v>
      </c>
      <c r="W22" s="16" t="s">
        <v>43</v>
      </c>
      <c r="X22" s="16">
        <v>4588</v>
      </c>
      <c r="Y22" s="16">
        <v>1865</v>
      </c>
      <c r="Z22" s="16">
        <v>1632</v>
      </c>
      <c r="AA22" s="16" t="s">
        <v>36</v>
      </c>
      <c r="AB22" s="16" t="s">
        <v>90</v>
      </c>
    </row>
    <row r="23" spans="1:28" x14ac:dyDescent="0.3">
      <c r="A23" s="16" t="s">
        <v>60</v>
      </c>
      <c r="B23" s="16" t="s">
        <v>91</v>
      </c>
      <c r="C23" s="16">
        <v>180</v>
      </c>
      <c r="D2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3" s="16">
        <v>77</v>
      </c>
      <c r="F23" s="16" t="str">
        <f>IF(electric_vehicles_spec_2025_csv[[#This Row],[battery_capacity_kWh]]&lt;=30, "0–30 kWh", IF(electric_vehicles_spec_2025_csv[[#This Row],[battery_capacity_kWh]]&lt;=60, "31–60 kWh", "61+ kWh"))</f>
        <v>61+ kWh</v>
      </c>
      <c r="G23" s="16" t="s">
        <v>24</v>
      </c>
      <c r="H23" s="16">
        <v>288</v>
      </c>
      <c r="I23" s="16">
        <v>545</v>
      </c>
      <c r="J23" s="16">
        <v>169</v>
      </c>
      <c r="K23" s="16" t="str">
        <f t="shared" si="0"/>
        <v>161+ Wh/km</v>
      </c>
      <c r="L23" s="16">
        <v>420</v>
      </c>
      <c r="M23" s="16" t="str">
        <f>IF(electric_vehicles_spec_2025_csv[[#This Row],[range_km]]&lt;=200, "0–200 km",IF(electric_vehicles_spec_2025_csv[[#This Row],[range_km]]&lt;=400, "201–400 km", "401+ km"))</f>
        <v>401+ km</v>
      </c>
      <c r="N23" s="16">
        <v>6.7</v>
      </c>
      <c r="O23" s="16" t="str">
        <f>IF(electric_vehicles_spec_2025_csv[[#This Row],[acceleration_0_100_s]]&lt;4,"0–3.9 s",IF(electric_vehicles_spec_2025_csv[[#This Row],[acceleration_0_100_s]]&lt;6,"4.0–5.9 s",IF(electric_vehicles_spec_2025_csv[[#This Row],[acceleration_0_100_s]]&lt;8,"6.0–7.9 s","8.0+ s")))</f>
        <v>6.0–7.9 s</v>
      </c>
      <c r="P23" s="16">
        <v>120</v>
      </c>
      <c r="Q23" s="16" t="str">
        <f>IF(electric_vehicles_spec_2025_csv[[#This Row],[fast_charging_power_kw_dc]]&lt;50,"0–49 kW",IF(electric_vehicles_spec_2025_csv[[#This Row],[fast_charging_power_kw_dc]]&lt;100,"50–99 kW",IF(electric_vehicles_spec_2025_csv[[#This Row],[fast_charging_power_kw_dc]]&lt;150,"100–149 kW","150+ kW")))</f>
        <v>100–149 kW</v>
      </c>
      <c r="R23" s="16" t="s">
        <v>25</v>
      </c>
      <c r="S23" s="16">
        <v>1000</v>
      </c>
      <c r="T23" s="16" t="s">
        <v>80</v>
      </c>
      <c r="U23" s="16">
        <v>5</v>
      </c>
      <c r="V23" s="16" t="s">
        <v>63</v>
      </c>
      <c r="W23" s="16" t="s">
        <v>43</v>
      </c>
      <c r="X23" s="16">
        <v>4588</v>
      </c>
      <c r="Y23" s="16">
        <v>1865</v>
      </c>
      <c r="Z23" s="16">
        <v>1632</v>
      </c>
      <c r="AA23" s="16" t="s">
        <v>36</v>
      </c>
      <c r="AB23" s="16" t="s">
        <v>92</v>
      </c>
    </row>
    <row r="24" spans="1:28" x14ac:dyDescent="0.3">
      <c r="A24" s="16" t="s">
        <v>60</v>
      </c>
      <c r="B24" s="16" t="s">
        <v>93</v>
      </c>
      <c r="C24" s="16">
        <v>180</v>
      </c>
      <c r="D2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4" s="16">
        <v>77</v>
      </c>
      <c r="F24" s="16" t="str">
        <f>IF(electric_vehicles_spec_2025_csv[[#This Row],[battery_capacity_kWh]]&lt;=30, "0–30 kWh", IF(electric_vehicles_spec_2025_csv[[#This Row],[battery_capacity_kWh]]&lt;=60, "31–60 kWh", "61+ kWh"))</f>
        <v>61+ kWh</v>
      </c>
      <c r="G24" s="16" t="s">
        <v>24</v>
      </c>
      <c r="H24" s="16">
        <v>288</v>
      </c>
      <c r="I24" s="16">
        <v>679</v>
      </c>
      <c r="J24" s="16">
        <v>171</v>
      </c>
      <c r="K24" s="16" t="str">
        <f t="shared" si="0"/>
        <v>161+ Wh/km</v>
      </c>
      <c r="L24" s="16">
        <v>395</v>
      </c>
      <c r="M24" s="16" t="str">
        <f>IF(electric_vehicles_spec_2025_csv[[#This Row],[range_km]]&lt;=200, "0–200 km",IF(electric_vehicles_spec_2025_csv[[#This Row],[range_km]]&lt;=400, "201–400 km", "401+ km"))</f>
        <v>201–400 km</v>
      </c>
      <c r="N24" s="16">
        <v>6.6</v>
      </c>
      <c r="O24" s="16" t="str">
        <f>IF(electric_vehicles_spec_2025_csv[[#This Row],[acceleration_0_100_s]]&lt;4,"0–3.9 s",IF(electric_vehicles_spec_2025_csv[[#This Row],[acceleration_0_100_s]]&lt;6,"4.0–5.9 s",IF(electric_vehicles_spec_2025_csv[[#This Row],[acceleration_0_100_s]]&lt;8,"6.0–7.9 s","8.0+ s")))</f>
        <v>6.0–7.9 s</v>
      </c>
      <c r="P24" s="16">
        <v>120</v>
      </c>
      <c r="Q24" s="16" t="str">
        <f>IF(electric_vehicles_spec_2025_csv[[#This Row],[fast_charging_power_kw_dc]]&lt;50,"0–49 kW",IF(electric_vehicles_spec_2025_csv[[#This Row],[fast_charging_power_kw_dc]]&lt;100,"50–99 kW",IF(electric_vehicles_spec_2025_csv[[#This Row],[fast_charging_power_kw_dc]]&lt;150,"100–149 kW","150+ kW")))</f>
        <v>100–149 kW</v>
      </c>
      <c r="R24" s="16" t="s">
        <v>25</v>
      </c>
      <c r="S24" s="16">
        <v>1200</v>
      </c>
      <c r="T24" s="16" t="s">
        <v>80</v>
      </c>
      <c r="U24" s="16">
        <v>5</v>
      </c>
      <c r="V24" s="16" t="s">
        <v>70</v>
      </c>
      <c r="W24" s="16" t="s">
        <v>43</v>
      </c>
      <c r="X24" s="16">
        <v>4588</v>
      </c>
      <c r="Y24" s="16">
        <v>1865</v>
      </c>
      <c r="Z24" s="16">
        <v>1632</v>
      </c>
      <c r="AA24" s="16" t="s">
        <v>36</v>
      </c>
      <c r="AB24" s="16" t="s">
        <v>94</v>
      </c>
    </row>
    <row r="25" spans="1:28" x14ac:dyDescent="0.3">
      <c r="A25" s="16" t="s">
        <v>60</v>
      </c>
      <c r="B25" s="16" t="s">
        <v>95</v>
      </c>
      <c r="C25" s="16">
        <v>180</v>
      </c>
      <c r="D2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5" s="16">
        <v>77</v>
      </c>
      <c r="F25" s="16" t="str">
        <f>IF(electric_vehicles_spec_2025_csv[[#This Row],[battery_capacity_kWh]]&lt;=30, "0–30 kWh", IF(electric_vehicles_spec_2025_csv[[#This Row],[battery_capacity_kWh]]&lt;=60, "31–60 kWh", "61+ kWh"))</f>
        <v>61+ kWh</v>
      </c>
      <c r="G25" s="16" t="s">
        <v>24</v>
      </c>
      <c r="H25" s="16">
        <v>288</v>
      </c>
      <c r="I25" s="16">
        <v>679</v>
      </c>
      <c r="J25" s="16">
        <v>171</v>
      </c>
      <c r="K25" s="16" t="str">
        <f t="shared" si="0"/>
        <v>161+ Wh/km</v>
      </c>
      <c r="L25" s="16">
        <v>395</v>
      </c>
      <c r="M25" s="16" t="str">
        <f>IF(electric_vehicles_spec_2025_csv[[#This Row],[range_km]]&lt;=200, "0–200 km",IF(electric_vehicles_spec_2025_csv[[#This Row],[range_km]]&lt;=400, "201–400 km", "401+ km"))</f>
        <v>201–400 km</v>
      </c>
      <c r="N25" s="16">
        <v>5.4</v>
      </c>
      <c r="O25" s="16" t="str">
        <f>IF(electric_vehicles_spec_2025_csv[[#This Row],[acceleration_0_100_s]]&lt;4,"0–3.9 s",IF(electric_vehicles_spec_2025_csv[[#This Row],[acceleration_0_100_s]]&lt;6,"4.0–5.9 s",IF(electric_vehicles_spec_2025_csv[[#This Row],[acceleration_0_100_s]]&lt;8,"6.0–7.9 s","8.0+ s")))</f>
        <v>4.0–5.9 s</v>
      </c>
      <c r="P25" s="16">
        <v>120</v>
      </c>
      <c r="Q25" s="16" t="str">
        <f>IF(electric_vehicles_spec_2025_csv[[#This Row],[fast_charging_power_kw_dc]]&lt;50,"0–49 kW",IF(electric_vehicles_spec_2025_csv[[#This Row],[fast_charging_power_kw_dc]]&lt;100,"50–99 kW",IF(electric_vehicles_spec_2025_csv[[#This Row],[fast_charging_power_kw_dc]]&lt;150,"100–149 kW","150+ kW")))</f>
        <v>100–149 kW</v>
      </c>
      <c r="R25" s="16" t="s">
        <v>25</v>
      </c>
      <c r="S25" s="16">
        <v>1200</v>
      </c>
      <c r="T25" s="16" t="s">
        <v>80</v>
      </c>
      <c r="U25" s="16">
        <v>5</v>
      </c>
      <c r="V25" s="16" t="s">
        <v>70</v>
      </c>
      <c r="W25" s="16" t="s">
        <v>43</v>
      </c>
      <c r="X25" s="16">
        <v>4588</v>
      </c>
      <c r="Y25" s="16">
        <v>1865</v>
      </c>
      <c r="Z25" s="16">
        <v>1632</v>
      </c>
      <c r="AA25" s="16" t="s">
        <v>36</v>
      </c>
      <c r="AB25" s="16" t="s">
        <v>96</v>
      </c>
    </row>
    <row r="26" spans="1:28" x14ac:dyDescent="0.3">
      <c r="A26" s="16" t="s">
        <v>60</v>
      </c>
      <c r="B26" s="16" t="s">
        <v>97</v>
      </c>
      <c r="C26" s="16">
        <v>210</v>
      </c>
      <c r="D2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6" s="16">
        <v>75.8</v>
      </c>
      <c r="F26" s="16" t="str">
        <f>IF(electric_vehicles_spec_2025_csv[[#This Row],[battery_capacity_kWh]]&lt;=30, "0–30 kWh", IF(electric_vehicles_spec_2025_csv[[#This Row],[battery_capacity_kWh]]&lt;=60, "31–60 kWh", "61+ kWh"))</f>
        <v>61+ kWh</v>
      </c>
      <c r="G26" s="16" t="s">
        <v>24</v>
      </c>
      <c r="H26" s="16">
        <v>150</v>
      </c>
      <c r="I26" s="16">
        <v>450</v>
      </c>
      <c r="J26" s="16">
        <v>166</v>
      </c>
      <c r="K26" s="16" t="str">
        <f t="shared" si="0"/>
        <v>161+ Wh/km</v>
      </c>
      <c r="L26" s="16">
        <v>395</v>
      </c>
      <c r="M26" s="16" t="str">
        <f>IF(electric_vehicles_spec_2025_csv[[#This Row],[range_km]]&lt;=200, "0–200 km",IF(electric_vehicles_spec_2025_csv[[#This Row],[range_km]]&lt;=400, "201–400 km", "401+ km"))</f>
        <v>201–400 km</v>
      </c>
      <c r="N26" s="16">
        <v>7</v>
      </c>
      <c r="O26" s="16" t="str">
        <f>IF(electric_vehicles_spec_2025_csv[[#This Row],[acceleration_0_100_s]]&lt;4,"0–3.9 s",IF(electric_vehicles_spec_2025_csv[[#This Row],[acceleration_0_100_s]]&lt;6,"4.0–5.9 s",IF(electric_vehicles_spec_2025_csv[[#This Row],[acceleration_0_100_s]]&lt;8,"6.0–7.9 s","8.0+ s")))</f>
        <v>6.0–7.9 s</v>
      </c>
      <c r="P26" s="16">
        <v>150</v>
      </c>
      <c r="Q26" s="16" t="str">
        <f>IF(electric_vehicles_spec_2025_csv[[#This Row],[fast_charging_power_kw_dc]]&lt;50,"0–49 kW",IF(electric_vehicles_spec_2025_csv[[#This Row],[fast_charging_power_kw_dc]]&lt;100,"50–99 kW",IF(electric_vehicles_spec_2025_csv[[#This Row],[fast_charging_power_kw_dc]]&lt;150,"100–149 kW","150+ kW")))</f>
        <v>150+ kW</v>
      </c>
      <c r="R26" s="16" t="s">
        <v>25</v>
      </c>
      <c r="S26" s="16">
        <v>2000</v>
      </c>
      <c r="T26" s="16" t="s">
        <v>98</v>
      </c>
      <c r="U26" s="16">
        <v>5</v>
      </c>
      <c r="V26" s="16" t="s">
        <v>63</v>
      </c>
      <c r="W26" s="16" t="s">
        <v>99</v>
      </c>
      <c r="X26" s="16">
        <v>4771</v>
      </c>
      <c r="Y26" s="16">
        <v>1939</v>
      </c>
      <c r="Z26" s="16">
        <v>1685</v>
      </c>
      <c r="AA26" s="16" t="s">
        <v>36</v>
      </c>
      <c r="AB26" s="16" t="s">
        <v>100</v>
      </c>
    </row>
    <row r="27" spans="1:28" x14ac:dyDescent="0.3">
      <c r="A27" s="16" t="s">
        <v>60</v>
      </c>
      <c r="B27" s="16" t="s">
        <v>101</v>
      </c>
      <c r="C27" s="16">
        <v>210</v>
      </c>
      <c r="D2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 s="16">
        <v>75.8</v>
      </c>
      <c r="F27" s="16" t="str">
        <f>IF(electric_vehicles_spec_2025_csv[[#This Row],[battery_capacity_kWh]]&lt;=30, "0–30 kWh", IF(electric_vehicles_spec_2025_csv[[#This Row],[battery_capacity_kWh]]&lt;=60, "31–60 kWh", "61+ kWh"))</f>
        <v>61+ kWh</v>
      </c>
      <c r="G27" s="16" t="s">
        <v>24</v>
      </c>
      <c r="H27" s="16">
        <v>150</v>
      </c>
      <c r="I27" s="16">
        <v>450</v>
      </c>
      <c r="J27" s="16">
        <v>139</v>
      </c>
      <c r="K27" s="16" t="str">
        <f t="shared" si="0"/>
        <v>131–160 Wh/km</v>
      </c>
      <c r="L27" s="16">
        <v>410</v>
      </c>
      <c r="M27" s="16" t="str">
        <f>IF(electric_vehicles_spec_2025_csv[[#This Row],[range_km]]&lt;=200, "0–200 km",IF(electric_vehicles_spec_2025_csv[[#This Row],[range_km]]&lt;=400, "201–400 km", "401+ km"))</f>
        <v>401+ km</v>
      </c>
      <c r="N27" s="16">
        <v>7</v>
      </c>
      <c r="O27" s="16" t="str">
        <f>IF(electric_vehicles_spec_2025_csv[[#This Row],[acceleration_0_100_s]]&lt;4,"0–3.9 s",IF(electric_vehicles_spec_2025_csv[[#This Row],[acceleration_0_100_s]]&lt;6,"4.0–5.9 s",IF(electric_vehicles_spec_2025_csv[[#This Row],[acceleration_0_100_s]]&lt;8,"6.0–7.9 s","8.0+ s")))</f>
        <v>6.0–7.9 s</v>
      </c>
      <c r="P27" s="16">
        <v>150</v>
      </c>
      <c r="Q27" s="16" t="str">
        <f>IF(electric_vehicles_spec_2025_csv[[#This Row],[fast_charging_power_kw_dc]]&lt;50,"0–49 kW",IF(electric_vehicles_spec_2025_csv[[#This Row],[fast_charging_power_kw_dc]]&lt;100,"50–99 kW",IF(electric_vehicles_spec_2025_csv[[#This Row],[fast_charging_power_kw_dc]]&lt;150,"100–149 kW","150+ kW")))</f>
        <v>150+ kW</v>
      </c>
      <c r="R27" s="16" t="s">
        <v>25</v>
      </c>
      <c r="S27" s="16">
        <v>2000</v>
      </c>
      <c r="T27" s="16" t="s">
        <v>102</v>
      </c>
      <c r="U27" s="16">
        <v>5</v>
      </c>
      <c r="V27" s="16" t="s">
        <v>63</v>
      </c>
      <c r="W27" s="16" t="s">
        <v>99</v>
      </c>
      <c r="X27" s="16">
        <v>4771</v>
      </c>
      <c r="Y27" s="16">
        <v>1939</v>
      </c>
      <c r="Z27" s="16">
        <v>1665</v>
      </c>
      <c r="AA27" s="16" t="s">
        <v>36</v>
      </c>
      <c r="AB27" s="16" t="s">
        <v>103</v>
      </c>
    </row>
    <row r="28" spans="1:28" x14ac:dyDescent="0.3">
      <c r="A28" s="16" t="s">
        <v>60</v>
      </c>
      <c r="B28" s="16" t="s">
        <v>104</v>
      </c>
      <c r="C28" s="16">
        <v>210</v>
      </c>
      <c r="D2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8" s="16">
        <v>94.9</v>
      </c>
      <c r="F28" s="16" t="str">
        <f>IF(electric_vehicles_spec_2025_csv[[#This Row],[battery_capacity_kWh]]&lt;=30, "0–30 kWh", IF(electric_vehicles_spec_2025_csv[[#This Row],[battery_capacity_kWh]]&lt;=60, "31–60 kWh", "61+ kWh"))</f>
        <v>61+ kWh</v>
      </c>
      <c r="G28" s="16" t="s">
        <v>24</v>
      </c>
      <c r="H28" s="16">
        <v>180</v>
      </c>
      <c r="I28" s="16">
        <v>485</v>
      </c>
      <c r="J28" s="16">
        <v>145</v>
      </c>
      <c r="K28" s="16" t="str">
        <f t="shared" si="0"/>
        <v>131–160 Wh/km</v>
      </c>
      <c r="L28" s="16">
        <v>510</v>
      </c>
      <c r="M28" s="16" t="str">
        <f>IF(electric_vehicles_spec_2025_csv[[#This Row],[range_km]]&lt;=200, "0–200 km",IF(electric_vehicles_spec_2025_csv[[#This Row],[range_km]]&lt;=400, "201–400 km", "401+ km"))</f>
        <v>401+ km</v>
      </c>
      <c r="N28" s="16">
        <v>6.6</v>
      </c>
      <c r="O28" s="16" t="str">
        <f>IF(electric_vehicles_spec_2025_csv[[#This Row],[acceleration_0_100_s]]&lt;4,"0–3.9 s",IF(electric_vehicles_spec_2025_csv[[#This Row],[acceleration_0_100_s]]&lt;6,"4.0–5.9 s",IF(electric_vehicles_spec_2025_csv[[#This Row],[acceleration_0_100_s]]&lt;8,"6.0–7.9 s","8.0+ s")))</f>
        <v>6.0–7.9 s</v>
      </c>
      <c r="P28" s="16">
        <v>190</v>
      </c>
      <c r="Q28" s="16" t="str">
        <f>IF(electric_vehicles_spec_2025_csv[[#This Row],[fast_charging_power_kw_dc]]&lt;50,"0–49 kW",IF(electric_vehicles_spec_2025_csv[[#This Row],[fast_charging_power_kw_dc]]&lt;100,"50–99 kW",IF(electric_vehicles_spec_2025_csv[[#This Row],[fast_charging_power_kw_dc]]&lt;150,"100–149 kW","150+ kW")))</f>
        <v>150+ kW</v>
      </c>
      <c r="R28" s="16" t="s">
        <v>25</v>
      </c>
      <c r="S28" s="16">
        <v>2000</v>
      </c>
      <c r="T28" s="16" t="s">
        <v>102</v>
      </c>
      <c r="U28" s="16">
        <v>5</v>
      </c>
      <c r="V28" s="16" t="s">
        <v>63</v>
      </c>
      <c r="W28" s="16" t="s">
        <v>99</v>
      </c>
      <c r="X28" s="16">
        <v>4771</v>
      </c>
      <c r="Y28" s="16">
        <v>1939</v>
      </c>
      <c r="Z28" s="16">
        <v>1665</v>
      </c>
      <c r="AA28" s="16" t="s">
        <v>36</v>
      </c>
      <c r="AB28" s="16" t="s">
        <v>105</v>
      </c>
    </row>
    <row r="29" spans="1:28" x14ac:dyDescent="0.3">
      <c r="A29" s="16" t="s">
        <v>60</v>
      </c>
      <c r="B29" s="16" t="s">
        <v>106</v>
      </c>
      <c r="C29" s="16">
        <v>210</v>
      </c>
      <c r="D2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9" s="16">
        <v>94.9</v>
      </c>
      <c r="F29" s="16" t="str">
        <f>IF(electric_vehicles_spec_2025_csv[[#This Row],[battery_capacity_kWh]]&lt;=30, "0–30 kWh", IF(electric_vehicles_spec_2025_csv[[#This Row],[battery_capacity_kWh]]&lt;=60, "31–60 kWh", "61+ kWh"))</f>
        <v>61+ kWh</v>
      </c>
      <c r="G29" s="16" t="s">
        <v>24</v>
      </c>
      <c r="H29" s="16">
        <v>180</v>
      </c>
      <c r="I29" s="16">
        <v>855</v>
      </c>
      <c r="J29" s="16">
        <v>149</v>
      </c>
      <c r="K29" s="16" t="str">
        <f t="shared" si="0"/>
        <v>131–160 Wh/km</v>
      </c>
      <c r="L29" s="16">
        <v>500</v>
      </c>
      <c r="M29" s="16" t="str">
        <f>IF(electric_vehicles_spec_2025_csv[[#This Row],[range_km]]&lt;=200, "0–200 km",IF(electric_vehicles_spec_2025_csv[[#This Row],[range_km]]&lt;=400, "201–400 km", "401+ km"))</f>
        <v>401+ km</v>
      </c>
      <c r="N29" s="16">
        <v>5.9</v>
      </c>
      <c r="O29" s="16" t="str">
        <f>IF(electric_vehicles_spec_2025_csv[[#This Row],[acceleration_0_100_s]]&lt;4,"0–3.9 s",IF(electric_vehicles_spec_2025_csv[[#This Row],[acceleration_0_100_s]]&lt;6,"4.0–5.9 s",IF(electric_vehicles_spec_2025_csv[[#This Row],[acceleration_0_100_s]]&lt;8,"6.0–7.9 s","8.0+ s")))</f>
        <v>4.0–5.9 s</v>
      </c>
      <c r="P29" s="16">
        <v>200</v>
      </c>
      <c r="Q29" s="16" t="str">
        <f>IF(electric_vehicles_spec_2025_csv[[#This Row],[fast_charging_power_kw_dc]]&lt;50,"0–49 kW",IF(electric_vehicles_spec_2025_csv[[#This Row],[fast_charging_power_kw_dc]]&lt;100,"50–99 kW",IF(electric_vehicles_spec_2025_csv[[#This Row],[fast_charging_power_kw_dc]]&lt;150,"100–149 kW","150+ kW")))</f>
        <v>150+ kW</v>
      </c>
      <c r="R29" s="16" t="s">
        <v>25</v>
      </c>
      <c r="S29" s="16">
        <v>2400</v>
      </c>
      <c r="T29" s="16" t="s">
        <v>102</v>
      </c>
      <c r="U29" s="16">
        <v>5</v>
      </c>
      <c r="V29" s="16" t="s">
        <v>70</v>
      </c>
      <c r="W29" s="16" t="s">
        <v>99</v>
      </c>
      <c r="X29" s="16">
        <v>4771</v>
      </c>
      <c r="Y29" s="16">
        <v>1939</v>
      </c>
      <c r="Z29" s="16">
        <v>1665</v>
      </c>
      <c r="AA29" s="16" t="s">
        <v>36</v>
      </c>
      <c r="AB29" s="16" t="s">
        <v>107</v>
      </c>
    </row>
    <row r="30" spans="1:28" x14ac:dyDescent="0.3">
      <c r="A30" s="16" t="s">
        <v>60</v>
      </c>
      <c r="B30" s="16" t="s">
        <v>108</v>
      </c>
      <c r="C30" s="16">
        <v>210</v>
      </c>
      <c r="D3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0" s="16">
        <v>94.9</v>
      </c>
      <c r="F30" s="16" t="str">
        <f>IF(electric_vehicles_spec_2025_csv[[#This Row],[battery_capacity_kWh]]&lt;=30, "0–30 kWh", IF(electric_vehicles_spec_2025_csv[[#This Row],[battery_capacity_kWh]]&lt;=60, "31–60 kWh", "61+ kWh"))</f>
        <v>61+ kWh</v>
      </c>
      <c r="G30" s="16" t="s">
        <v>24</v>
      </c>
      <c r="H30" s="16">
        <v>180</v>
      </c>
      <c r="I30" s="16">
        <v>485</v>
      </c>
      <c r="J30" s="16">
        <v>171</v>
      </c>
      <c r="K30" s="16" t="str">
        <f t="shared" si="0"/>
        <v>161+ Wh/km</v>
      </c>
      <c r="L30" s="16">
        <v>490</v>
      </c>
      <c r="M30" s="16" t="str">
        <f>IF(electric_vehicles_spec_2025_csv[[#This Row],[range_km]]&lt;=200, "0–200 km",IF(electric_vehicles_spec_2025_csv[[#This Row],[range_km]]&lt;=400, "201–400 km", "401+ km"))</f>
        <v>401+ km</v>
      </c>
      <c r="N30" s="16">
        <v>6.6</v>
      </c>
      <c r="O30" s="16" t="str">
        <f>IF(electric_vehicles_spec_2025_csv[[#This Row],[acceleration_0_100_s]]&lt;4,"0–3.9 s",IF(electric_vehicles_spec_2025_csv[[#This Row],[acceleration_0_100_s]]&lt;6,"4.0–5.9 s",IF(electric_vehicles_spec_2025_csv[[#This Row],[acceleration_0_100_s]]&lt;8,"6.0–7.9 s","8.0+ s")))</f>
        <v>6.0–7.9 s</v>
      </c>
      <c r="P30" s="16">
        <v>190</v>
      </c>
      <c r="Q30" s="16" t="str">
        <f>IF(electric_vehicles_spec_2025_csv[[#This Row],[fast_charging_power_kw_dc]]&lt;50,"0–49 kW",IF(electric_vehicles_spec_2025_csv[[#This Row],[fast_charging_power_kw_dc]]&lt;100,"50–99 kW",IF(electric_vehicles_spec_2025_csv[[#This Row],[fast_charging_power_kw_dc]]&lt;150,"100–149 kW","150+ kW")))</f>
        <v>150+ kW</v>
      </c>
      <c r="R30" s="16" t="s">
        <v>25</v>
      </c>
      <c r="S30" s="16">
        <v>2000</v>
      </c>
      <c r="T30" s="16" t="s">
        <v>98</v>
      </c>
      <c r="U30" s="16">
        <v>5</v>
      </c>
      <c r="V30" s="16" t="s">
        <v>63</v>
      </c>
      <c r="W30" s="16" t="s">
        <v>99</v>
      </c>
      <c r="X30" s="16">
        <v>4771</v>
      </c>
      <c r="Y30" s="16">
        <v>1939</v>
      </c>
      <c r="Z30" s="16">
        <v>1685</v>
      </c>
      <c r="AA30" s="16" t="s">
        <v>36</v>
      </c>
      <c r="AB30" s="16" t="s">
        <v>109</v>
      </c>
    </row>
    <row r="31" spans="1:28" x14ac:dyDescent="0.3">
      <c r="A31" s="16" t="s">
        <v>60</v>
      </c>
      <c r="B31" s="16" t="s">
        <v>110</v>
      </c>
      <c r="C31" s="16">
        <v>210</v>
      </c>
      <c r="D3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1" s="16">
        <v>94.9</v>
      </c>
      <c r="F31" s="16" t="str">
        <f>IF(electric_vehicles_spec_2025_csv[[#This Row],[battery_capacity_kWh]]&lt;=30, "0–30 kWh", IF(electric_vehicles_spec_2025_csv[[#This Row],[battery_capacity_kWh]]&lt;=60, "31–60 kWh", "61+ kWh"))</f>
        <v>61+ kWh</v>
      </c>
      <c r="G31" s="16" t="s">
        <v>24</v>
      </c>
      <c r="H31" s="16">
        <v>180</v>
      </c>
      <c r="I31" s="16">
        <v>855</v>
      </c>
      <c r="J31" s="16">
        <v>176</v>
      </c>
      <c r="K31" s="16" t="str">
        <f t="shared" si="0"/>
        <v>161+ Wh/km</v>
      </c>
      <c r="L31" s="16">
        <v>480</v>
      </c>
      <c r="M31" s="16" t="str">
        <f>IF(electric_vehicles_spec_2025_csv[[#This Row],[range_km]]&lt;=200, "0–200 km",IF(electric_vehicles_spec_2025_csv[[#This Row],[range_km]]&lt;=400, "201–400 km", "401+ km"))</f>
        <v>401+ km</v>
      </c>
      <c r="N31" s="16">
        <v>5.9</v>
      </c>
      <c r="O31" s="16" t="str">
        <f>IF(electric_vehicles_spec_2025_csv[[#This Row],[acceleration_0_100_s]]&lt;4,"0–3.9 s",IF(electric_vehicles_spec_2025_csv[[#This Row],[acceleration_0_100_s]]&lt;6,"4.0–5.9 s",IF(electric_vehicles_spec_2025_csv[[#This Row],[acceleration_0_100_s]]&lt;8,"6.0–7.9 s","8.0+ s")))</f>
        <v>4.0–5.9 s</v>
      </c>
      <c r="P31" s="16">
        <v>200</v>
      </c>
      <c r="Q31" s="16" t="str">
        <f>IF(electric_vehicles_spec_2025_csv[[#This Row],[fast_charging_power_kw_dc]]&lt;50,"0–49 kW",IF(electric_vehicles_spec_2025_csv[[#This Row],[fast_charging_power_kw_dc]]&lt;100,"50–99 kW",IF(electric_vehicles_spec_2025_csv[[#This Row],[fast_charging_power_kw_dc]]&lt;150,"100–149 kW","150+ kW")))</f>
        <v>150+ kW</v>
      </c>
      <c r="R31" s="16" t="s">
        <v>25</v>
      </c>
      <c r="S31" s="16">
        <v>2400</v>
      </c>
      <c r="T31" s="16" t="s">
        <v>111</v>
      </c>
      <c r="U31" s="16">
        <v>5</v>
      </c>
      <c r="V31" s="16" t="s">
        <v>70</v>
      </c>
      <c r="W31" s="16" t="s">
        <v>99</v>
      </c>
      <c r="X31" s="16">
        <v>4771</v>
      </c>
      <c r="Y31" s="16">
        <v>1939</v>
      </c>
      <c r="Z31" s="16">
        <v>1685</v>
      </c>
      <c r="AA31" s="16" t="s">
        <v>36</v>
      </c>
      <c r="AB31" s="16" t="s">
        <v>112</v>
      </c>
    </row>
    <row r="32" spans="1:28" x14ac:dyDescent="0.3">
      <c r="A32" s="16" t="s">
        <v>60</v>
      </c>
      <c r="B32" s="16" t="s">
        <v>113</v>
      </c>
      <c r="C32" s="16">
        <v>240</v>
      </c>
      <c r="D3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2" s="16">
        <v>94.9</v>
      </c>
      <c r="F32" s="16" t="str">
        <f>IF(electric_vehicles_spec_2025_csv[[#This Row],[battery_capacity_kWh]]&lt;=30, "0–30 kWh", IF(electric_vehicles_spec_2025_csv[[#This Row],[battery_capacity_kWh]]&lt;=60, "31–60 kWh", "61+ kWh"))</f>
        <v>61+ kWh</v>
      </c>
      <c r="G32" s="16" t="s">
        <v>24</v>
      </c>
      <c r="H32" s="16">
        <v>180</v>
      </c>
      <c r="I32" s="16">
        <v>855</v>
      </c>
      <c r="J32" s="16">
        <v>156</v>
      </c>
      <c r="K32" s="16" t="str">
        <f t="shared" si="0"/>
        <v>131–160 Wh/km</v>
      </c>
      <c r="L32" s="16">
        <v>530</v>
      </c>
      <c r="M32" s="16" t="str">
        <f>IF(electric_vehicles_spec_2025_csv[[#This Row],[range_km]]&lt;=200, "0–200 km",IF(electric_vehicles_spec_2025_csv[[#This Row],[range_km]]&lt;=400, "201–400 km", "401+ km"))</f>
        <v>401+ km</v>
      </c>
      <c r="N32" s="16">
        <v>3.9</v>
      </c>
      <c r="O32" s="16" t="str">
        <f>IF(electric_vehicles_spec_2025_csv[[#This Row],[acceleration_0_100_s]]&lt;4,"0–3.9 s",IF(electric_vehicles_spec_2025_csv[[#This Row],[acceleration_0_100_s]]&lt;6,"4.0–5.9 s",IF(electric_vehicles_spec_2025_csv[[#This Row],[acceleration_0_100_s]]&lt;8,"6.0–7.9 s","8.0+ s")))</f>
        <v>0–3.9 s</v>
      </c>
      <c r="P32" s="16">
        <v>200</v>
      </c>
      <c r="Q32" s="16" t="str">
        <f>IF(electric_vehicles_spec_2025_csv[[#This Row],[fast_charging_power_kw_dc]]&lt;50,"0–49 kW",IF(electric_vehicles_spec_2025_csv[[#This Row],[fast_charging_power_kw_dc]]&lt;100,"50–99 kW",IF(electric_vehicles_spec_2025_csv[[#This Row],[fast_charging_power_kw_dc]]&lt;150,"100–149 kW","150+ kW")))</f>
        <v>150+ kW</v>
      </c>
      <c r="R32" s="16" t="s">
        <v>25</v>
      </c>
      <c r="S32" s="16">
        <v>2100</v>
      </c>
      <c r="T32" s="16" t="s">
        <v>62</v>
      </c>
      <c r="U32" s="16">
        <v>5</v>
      </c>
      <c r="V32" s="16" t="s">
        <v>70</v>
      </c>
      <c r="W32" s="16" t="s">
        <v>64</v>
      </c>
      <c r="X32" s="16">
        <v>4928</v>
      </c>
      <c r="Y32" s="16">
        <v>1923</v>
      </c>
      <c r="Z32" s="16">
        <v>1493</v>
      </c>
      <c r="AA32" s="16" t="s">
        <v>65</v>
      </c>
      <c r="AB32" s="16" t="s">
        <v>114</v>
      </c>
    </row>
    <row r="33" spans="1:28" x14ac:dyDescent="0.3">
      <c r="A33" s="16" t="s">
        <v>60</v>
      </c>
      <c r="B33" s="16" t="s">
        <v>115</v>
      </c>
      <c r="C33" s="16">
        <v>240</v>
      </c>
      <c r="D3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3" s="16">
        <v>94.9</v>
      </c>
      <c r="F33" s="16" t="str">
        <f>IF(electric_vehicles_spec_2025_csv[[#This Row],[battery_capacity_kWh]]&lt;=30, "0–30 kWh", IF(electric_vehicles_spec_2025_csv[[#This Row],[battery_capacity_kWh]]&lt;=60, "31–60 kWh", "61+ kWh"))</f>
        <v>61+ kWh</v>
      </c>
      <c r="G33" s="16" t="s">
        <v>24</v>
      </c>
      <c r="H33" s="16">
        <v>180</v>
      </c>
      <c r="I33" s="16">
        <v>855</v>
      </c>
      <c r="J33" s="16">
        <v>149</v>
      </c>
      <c r="K33" s="16" t="str">
        <f t="shared" si="0"/>
        <v>131–160 Wh/km</v>
      </c>
      <c r="L33" s="16">
        <v>555</v>
      </c>
      <c r="M33" s="16" t="str">
        <f>IF(electric_vehicles_spec_2025_csv[[#This Row],[range_km]]&lt;=200, "0–200 km",IF(electric_vehicles_spec_2025_csv[[#This Row],[range_km]]&lt;=400, "201–400 km", "401+ km"))</f>
        <v>401+ km</v>
      </c>
      <c r="N33" s="16">
        <v>3.9</v>
      </c>
      <c r="O33" s="16" t="str">
        <f>IF(electric_vehicles_spec_2025_csv[[#This Row],[acceleration_0_100_s]]&lt;4,"0–3.9 s",IF(electric_vehicles_spec_2025_csv[[#This Row],[acceleration_0_100_s]]&lt;6,"4.0–5.9 s",IF(electric_vehicles_spec_2025_csv[[#This Row],[acceleration_0_100_s]]&lt;8,"6.0–7.9 s","8.0+ s")))</f>
        <v>0–3.9 s</v>
      </c>
      <c r="P33" s="16">
        <v>200</v>
      </c>
      <c r="Q33" s="16" t="str">
        <f>IF(electric_vehicles_spec_2025_csv[[#This Row],[fast_charging_power_kw_dc]]&lt;50,"0–49 kW",IF(electric_vehicles_spec_2025_csv[[#This Row],[fast_charging_power_kw_dc]]&lt;100,"50–99 kW",IF(electric_vehicles_spec_2025_csv[[#This Row],[fast_charging_power_kw_dc]]&lt;150,"100–149 kW","150+ kW")))</f>
        <v>150+ kW</v>
      </c>
      <c r="R33" s="16" t="s">
        <v>25</v>
      </c>
      <c r="S33" s="16">
        <v>2100</v>
      </c>
      <c r="T33" s="16" t="s">
        <v>62</v>
      </c>
      <c r="U33" s="16">
        <v>5</v>
      </c>
      <c r="V33" s="16" t="s">
        <v>70</v>
      </c>
      <c r="W33" s="16" t="s">
        <v>64</v>
      </c>
      <c r="X33" s="16">
        <v>4928</v>
      </c>
      <c r="Y33" s="16">
        <v>1923</v>
      </c>
      <c r="Z33" s="16">
        <v>1465</v>
      </c>
      <c r="AA33" s="16" t="s">
        <v>73</v>
      </c>
      <c r="AB33" s="16" t="s">
        <v>116</v>
      </c>
    </row>
    <row r="34" spans="1:28" x14ac:dyDescent="0.3">
      <c r="A34" s="16" t="s">
        <v>60</v>
      </c>
      <c r="B34" s="16" t="s">
        <v>117</v>
      </c>
      <c r="C34" s="16">
        <v>230</v>
      </c>
      <c r="D3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4" s="16">
        <v>94.9</v>
      </c>
      <c r="F34" s="16" t="str">
        <f>IF(electric_vehicles_spec_2025_csv[[#This Row],[battery_capacity_kWh]]&lt;=30, "0–30 kWh", IF(electric_vehicles_spec_2025_csv[[#This Row],[battery_capacity_kWh]]&lt;=60, "31–60 kWh", "61+ kWh"))</f>
        <v>61+ kWh</v>
      </c>
      <c r="G34" s="16" t="s">
        <v>24</v>
      </c>
      <c r="H34" s="16">
        <v>180</v>
      </c>
      <c r="I34" s="16">
        <v>855</v>
      </c>
      <c r="J34" s="16">
        <v>169</v>
      </c>
      <c r="K34" s="16" t="str">
        <f t="shared" si="0"/>
        <v>161+ Wh/km</v>
      </c>
      <c r="L34" s="16">
        <v>470</v>
      </c>
      <c r="M34" s="16" t="str">
        <f>IF(electric_vehicles_spec_2025_csv[[#This Row],[range_km]]&lt;=200, "0–200 km",IF(electric_vehicles_spec_2025_csv[[#This Row],[range_km]]&lt;=400, "201–400 km", "401+ km"))</f>
        <v>401+ km</v>
      </c>
      <c r="N34" s="16">
        <v>4.3</v>
      </c>
      <c r="O34" s="16" t="str">
        <f>IF(electric_vehicles_spec_2025_csv[[#This Row],[acceleration_0_100_s]]&lt;4,"0–3.9 s",IF(electric_vehicles_spec_2025_csv[[#This Row],[acceleration_0_100_s]]&lt;6,"4.0–5.9 s",IF(electric_vehicles_spec_2025_csv[[#This Row],[acceleration_0_100_s]]&lt;8,"6.0–7.9 s","8.0+ s")))</f>
        <v>4.0–5.9 s</v>
      </c>
      <c r="P34" s="16">
        <v>200</v>
      </c>
      <c r="Q34" s="16" t="str">
        <f>IF(electric_vehicles_spec_2025_csv[[#This Row],[fast_charging_power_kw_dc]]&lt;50,"0–49 kW",IF(electric_vehicles_spec_2025_csv[[#This Row],[fast_charging_power_kw_dc]]&lt;100,"50–99 kW",IF(electric_vehicles_spec_2025_csv[[#This Row],[fast_charging_power_kw_dc]]&lt;150,"100–149 kW","150+ kW")))</f>
        <v>150+ kW</v>
      </c>
      <c r="R34" s="16" t="s">
        <v>25</v>
      </c>
      <c r="S34" s="16">
        <v>2400</v>
      </c>
      <c r="T34" s="16" t="s">
        <v>118</v>
      </c>
      <c r="U34" s="16">
        <v>5</v>
      </c>
      <c r="V34" s="16" t="s">
        <v>70</v>
      </c>
      <c r="W34" s="16" t="s">
        <v>99</v>
      </c>
      <c r="X34" s="16">
        <v>4771</v>
      </c>
      <c r="Y34" s="16">
        <v>1965</v>
      </c>
      <c r="Z34" s="16">
        <v>1685</v>
      </c>
      <c r="AA34" s="16" t="s">
        <v>36</v>
      </c>
      <c r="AB34" s="16" t="s">
        <v>119</v>
      </c>
    </row>
    <row r="35" spans="1:28" x14ac:dyDescent="0.3">
      <c r="A35" s="16" t="s">
        <v>60</v>
      </c>
      <c r="B35" s="16" t="s">
        <v>120</v>
      </c>
      <c r="C35" s="16">
        <v>230</v>
      </c>
      <c r="D3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5" s="16">
        <v>94.9</v>
      </c>
      <c r="F35" s="16" t="str">
        <f>IF(electric_vehicles_spec_2025_csv[[#This Row],[battery_capacity_kWh]]&lt;=30, "0–30 kWh", IF(electric_vehicles_spec_2025_csv[[#This Row],[battery_capacity_kWh]]&lt;=60, "31–60 kWh", "61+ kWh"))</f>
        <v>61+ kWh</v>
      </c>
      <c r="G35" s="16" t="s">
        <v>24</v>
      </c>
      <c r="H35" s="16">
        <v>180</v>
      </c>
      <c r="I35" s="16">
        <v>855</v>
      </c>
      <c r="J35" s="16">
        <v>164</v>
      </c>
      <c r="K35" s="16" t="str">
        <f t="shared" si="0"/>
        <v>161+ Wh/km</v>
      </c>
      <c r="L35" s="16">
        <v>495</v>
      </c>
      <c r="M35" s="16" t="str">
        <f>IF(electric_vehicles_spec_2025_csv[[#This Row],[range_km]]&lt;=200, "0–200 km",IF(electric_vehicles_spec_2025_csv[[#This Row],[range_km]]&lt;=400, "201–400 km", "401+ km"))</f>
        <v>401+ km</v>
      </c>
      <c r="N35" s="16">
        <v>4.3</v>
      </c>
      <c r="O35" s="16" t="str">
        <f>IF(electric_vehicles_spec_2025_csv[[#This Row],[acceleration_0_100_s]]&lt;4,"0–3.9 s",IF(electric_vehicles_spec_2025_csv[[#This Row],[acceleration_0_100_s]]&lt;6,"4.0–5.9 s",IF(electric_vehicles_spec_2025_csv[[#This Row],[acceleration_0_100_s]]&lt;8,"6.0–7.9 s","8.0+ s")))</f>
        <v>4.0–5.9 s</v>
      </c>
      <c r="P35" s="16">
        <v>200</v>
      </c>
      <c r="Q35" s="16" t="str">
        <f>IF(electric_vehicles_spec_2025_csv[[#This Row],[fast_charging_power_kw_dc]]&lt;50,"0–49 kW",IF(electric_vehicles_spec_2025_csv[[#This Row],[fast_charging_power_kw_dc]]&lt;100,"50–99 kW",IF(electric_vehicles_spec_2025_csv[[#This Row],[fast_charging_power_kw_dc]]&lt;150,"100–149 kW","150+ kW")))</f>
        <v>150+ kW</v>
      </c>
      <c r="R35" s="16" t="s">
        <v>25</v>
      </c>
      <c r="S35" s="16">
        <v>2400</v>
      </c>
      <c r="T35" s="16" t="s">
        <v>102</v>
      </c>
      <c r="U35" s="16">
        <v>5</v>
      </c>
      <c r="V35" s="16" t="s">
        <v>70</v>
      </c>
      <c r="W35" s="16" t="s">
        <v>99</v>
      </c>
      <c r="X35" s="16">
        <v>4771</v>
      </c>
      <c r="Y35" s="16">
        <v>1965</v>
      </c>
      <c r="Z35" s="16">
        <v>1665</v>
      </c>
      <c r="AA35" s="16" t="s">
        <v>36</v>
      </c>
      <c r="AB35" s="16" t="s">
        <v>121</v>
      </c>
    </row>
    <row r="36" spans="1:28" x14ac:dyDescent="0.3">
      <c r="A36" s="16" t="s">
        <v>60</v>
      </c>
      <c r="B36" s="16" t="s">
        <v>122</v>
      </c>
      <c r="C36" s="16">
        <v>250</v>
      </c>
      <c r="D3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6" s="16">
        <v>97</v>
      </c>
      <c r="F36" s="16" t="str">
        <f>IF(electric_vehicles_spec_2025_csv[[#This Row],[battery_capacity_kWh]]&lt;=30, "0–30 kWh", IF(electric_vehicles_spec_2025_csv[[#This Row],[battery_capacity_kWh]]&lt;=60, "31–60 kWh", "61+ kWh"))</f>
        <v>61+ kWh</v>
      </c>
      <c r="G36" s="16" t="s">
        <v>24</v>
      </c>
      <c r="H36" s="16">
        <v>396</v>
      </c>
      <c r="I36" s="16">
        <v>865</v>
      </c>
      <c r="J36" s="16">
        <v>184</v>
      </c>
      <c r="K36" s="16" t="str">
        <f t="shared" si="0"/>
        <v>161+ Wh/km</v>
      </c>
      <c r="L36" s="16">
        <v>525</v>
      </c>
      <c r="M36" s="16" t="str">
        <f>IF(electric_vehicles_spec_2025_csv[[#This Row],[range_km]]&lt;=200, "0–200 km",IF(electric_vehicles_spec_2025_csv[[#This Row],[range_km]]&lt;=400, "201–400 km", "401+ km"))</f>
        <v>401+ km</v>
      </c>
      <c r="N36" s="16">
        <v>2.8</v>
      </c>
      <c r="O36" s="16" t="str">
        <f>IF(electric_vehicles_spec_2025_csv[[#This Row],[acceleration_0_100_s]]&lt;4,"0–3.9 s",IF(electric_vehicles_spec_2025_csv[[#This Row],[acceleration_0_100_s]]&lt;6,"4.0–5.9 s",IF(electric_vehicles_spec_2025_csv[[#This Row],[acceleration_0_100_s]]&lt;8,"6.0–7.9 s","8.0+ s")))</f>
        <v>0–3.9 s</v>
      </c>
      <c r="P36" s="16">
        <v>281</v>
      </c>
      <c r="Q36" s="16" t="str">
        <f>IF(electric_vehicles_spec_2025_csv[[#This Row],[fast_charging_power_kw_dc]]&lt;50,"0–49 kW",IF(electric_vehicles_spec_2025_csv[[#This Row],[fast_charging_power_kw_dc]]&lt;100,"50–99 kW",IF(electric_vehicles_spec_2025_csv[[#This Row],[fast_charging_power_kw_dc]]&lt;150,"100–149 kW","150+ kW")))</f>
        <v>150+ kW</v>
      </c>
      <c r="R36" s="16" t="s">
        <v>25</v>
      </c>
      <c r="S36" s="16">
        <v>0</v>
      </c>
      <c r="T36" s="16" t="s">
        <v>123</v>
      </c>
      <c r="U36" s="16">
        <v>4</v>
      </c>
      <c r="V36" s="16" t="s">
        <v>70</v>
      </c>
      <c r="W36" s="16" t="s">
        <v>124</v>
      </c>
      <c r="X36" s="16">
        <v>4997</v>
      </c>
      <c r="Y36" s="16">
        <v>1964</v>
      </c>
      <c r="Z36" s="16">
        <v>1389</v>
      </c>
      <c r="AA36" s="16" t="s">
        <v>125</v>
      </c>
      <c r="AB36" s="16" t="s">
        <v>126</v>
      </c>
    </row>
    <row r="37" spans="1:28" x14ac:dyDescent="0.3">
      <c r="A37" s="16" t="s">
        <v>60</v>
      </c>
      <c r="B37" s="16" t="s">
        <v>127</v>
      </c>
      <c r="C37" s="16">
        <v>250</v>
      </c>
      <c r="D3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7" s="16">
        <v>97</v>
      </c>
      <c r="F37" s="16" t="str">
        <f>IF(electric_vehicles_spec_2025_csv[[#This Row],[battery_capacity_kWh]]&lt;=30, "0–30 kWh", IF(electric_vehicles_spec_2025_csv[[#This Row],[battery_capacity_kWh]]&lt;=60, "31–60 kWh", "61+ kWh"))</f>
        <v>61+ kWh</v>
      </c>
      <c r="G37" s="16" t="s">
        <v>24</v>
      </c>
      <c r="H37" s="16">
        <v>396</v>
      </c>
      <c r="I37" s="16">
        <v>1027</v>
      </c>
      <c r="J37" s="16">
        <v>182</v>
      </c>
      <c r="K37" s="16" t="str">
        <f t="shared" si="0"/>
        <v>161+ Wh/km</v>
      </c>
      <c r="L37" s="16">
        <v>525</v>
      </c>
      <c r="M37" s="16" t="str">
        <f>IF(electric_vehicles_spec_2025_csv[[#This Row],[range_km]]&lt;=200, "0–200 km",IF(electric_vehicles_spec_2025_csv[[#This Row],[range_km]]&lt;=400, "201–400 km", "401+ km"))</f>
        <v>401+ km</v>
      </c>
      <c r="N37" s="16">
        <v>2.5</v>
      </c>
      <c r="O37" s="16" t="str">
        <f>IF(electric_vehicles_spec_2025_csv[[#This Row],[acceleration_0_100_s]]&lt;4,"0–3.9 s",IF(electric_vehicles_spec_2025_csv[[#This Row],[acceleration_0_100_s]]&lt;6,"4.0–5.9 s",IF(electric_vehicles_spec_2025_csv[[#This Row],[acceleration_0_100_s]]&lt;8,"6.0–7.9 s","8.0+ s")))</f>
        <v>0–3.9 s</v>
      </c>
      <c r="P37" s="16">
        <v>281</v>
      </c>
      <c r="Q37" s="16" t="str">
        <f>IF(electric_vehicles_spec_2025_csv[[#This Row],[fast_charging_power_kw_dc]]&lt;50,"0–49 kW",IF(electric_vehicles_spec_2025_csv[[#This Row],[fast_charging_power_kw_dc]]&lt;100,"50–99 kW",IF(electric_vehicles_spec_2025_csv[[#This Row],[fast_charging_power_kw_dc]]&lt;150,"100–149 kW","150+ kW")))</f>
        <v>150+ kW</v>
      </c>
      <c r="R37" s="16" t="s">
        <v>25</v>
      </c>
      <c r="S37" s="16">
        <v>0</v>
      </c>
      <c r="T37" s="16" t="s">
        <v>123</v>
      </c>
      <c r="U37" s="16">
        <v>4</v>
      </c>
      <c r="V37" s="16" t="s">
        <v>70</v>
      </c>
      <c r="W37" s="16" t="s">
        <v>124</v>
      </c>
      <c r="X37" s="16">
        <v>4997</v>
      </c>
      <c r="Y37" s="16">
        <v>1964</v>
      </c>
      <c r="Z37" s="16">
        <v>1389</v>
      </c>
      <c r="AA37" s="16" t="s">
        <v>125</v>
      </c>
      <c r="AB37" s="16" t="s">
        <v>128</v>
      </c>
    </row>
    <row r="38" spans="1:28" x14ac:dyDescent="0.3">
      <c r="A38" s="16" t="s">
        <v>60</v>
      </c>
      <c r="B38" s="16" t="s">
        <v>129</v>
      </c>
      <c r="C38" s="16">
        <v>245</v>
      </c>
      <c r="D3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8" s="16">
        <v>97</v>
      </c>
      <c r="F38" s="16" t="str">
        <f>IF(electric_vehicles_spec_2025_csv[[#This Row],[battery_capacity_kWh]]&lt;=30, "0–30 kWh", IF(electric_vehicles_spec_2025_csv[[#This Row],[battery_capacity_kWh]]&lt;=60, "31–60 kWh", "61+ kWh"))</f>
        <v>61+ kWh</v>
      </c>
      <c r="G38" s="16" t="s">
        <v>24</v>
      </c>
      <c r="H38" s="16">
        <v>396</v>
      </c>
      <c r="I38" s="16">
        <v>740</v>
      </c>
      <c r="J38" s="16">
        <v>172</v>
      </c>
      <c r="K38" s="16" t="str">
        <f t="shared" si="0"/>
        <v>161+ Wh/km</v>
      </c>
      <c r="L38" s="16">
        <v>540</v>
      </c>
      <c r="M38" s="16" t="str">
        <f>IF(electric_vehicles_spec_2025_csv[[#This Row],[range_km]]&lt;=200, "0–200 km",IF(electric_vehicles_spec_2025_csv[[#This Row],[range_km]]&lt;=400, "201–400 km", "401+ km"))</f>
        <v>401+ km</v>
      </c>
      <c r="N38" s="16">
        <v>3.4</v>
      </c>
      <c r="O38" s="16" t="str">
        <f>IF(electric_vehicles_spec_2025_csv[[#This Row],[acceleration_0_100_s]]&lt;4,"0–3.9 s",IF(electric_vehicles_spec_2025_csv[[#This Row],[acceleration_0_100_s]]&lt;6,"4.0–5.9 s",IF(electric_vehicles_spec_2025_csv[[#This Row],[acceleration_0_100_s]]&lt;8,"6.0–7.9 s","8.0+ s")))</f>
        <v>0–3.9 s</v>
      </c>
      <c r="P38" s="16">
        <v>281</v>
      </c>
      <c r="Q38" s="16" t="str">
        <f>IF(electric_vehicles_spec_2025_csv[[#This Row],[fast_charging_power_kw_dc]]&lt;50,"0–49 kW",IF(electric_vehicles_spec_2025_csv[[#This Row],[fast_charging_power_kw_dc]]&lt;100,"50–99 kW",IF(electric_vehicles_spec_2025_csv[[#This Row],[fast_charging_power_kw_dc]]&lt;150,"100–149 kW","150+ kW")))</f>
        <v>150+ kW</v>
      </c>
      <c r="R38" s="16" t="s">
        <v>25</v>
      </c>
      <c r="S38" s="16">
        <v>0</v>
      </c>
      <c r="T38" s="16" t="s">
        <v>130</v>
      </c>
      <c r="U38" s="16">
        <v>4</v>
      </c>
      <c r="V38" s="16" t="s">
        <v>70</v>
      </c>
      <c r="W38" s="16" t="s">
        <v>124</v>
      </c>
      <c r="X38" s="16">
        <v>5004</v>
      </c>
      <c r="Y38" s="16">
        <v>1964</v>
      </c>
      <c r="Z38" s="16">
        <v>1394</v>
      </c>
      <c r="AA38" s="16" t="s">
        <v>125</v>
      </c>
      <c r="AB38" s="16" t="s">
        <v>131</v>
      </c>
    </row>
    <row r="39" spans="1:28" x14ac:dyDescent="0.3">
      <c r="A39" s="16" t="s">
        <v>60</v>
      </c>
      <c r="B39" s="16" t="s">
        <v>132</v>
      </c>
      <c r="C39" s="16">
        <v>245</v>
      </c>
      <c r="D3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9" s="16">
        <v>97</v>
      </c>
      <c r="F39" s="16" t="str">
        <f>IF(electric_vehicles_spec_2025_csv[[#This Row],[battery_capacity_kWh]]&lt;=30, "0–30 kWh", IF(electric_vehicles_spec_2025_csv[[#This Row],[battery_capacity_kWh]]&lt;=60, "31–60 kWh", "61+ kWh"))</f>
        <v>61+ kWh</v>
      </c>
      <c r="G39" s="16" t="s">
        <v>24</v>
      </c>
      <c r="H39" s="16">
        <v>396</v>
      </c>
      <c r="I39" s="16">
        <v>625</v>
      </c>
      <c r="J39" s="16">
        <v>169</v>
      </c>
      <c r="K39" s="16" t="str">
        <f t="shared" si="0"/>
        <v>161+ Wh/km</v>
      </c>
      <c r="L39" s="16">
        <v>540</v>
      </c>
      <c r="M39" s="16" t="str">
        <f>IF(electric_vehicles_spec_2025_csv[[#This Row],[range_km]]&lt;=200, "0–200 km",IF(electric_vehicles_spec_2025_csv[[#This Row],[range_km]]&lt;=400, "201–400 km", "401+ km"))</f>
        <v>401+ km</v>
      </c>
      <c r="N39" s="16">
        <v>4</v>
      </c>
      <c r="O39" s="16" t="str">
        <f>IF(electric_vehicles_spec_2025_csv[[#This Row],[acceleration_0_100_s]]&lt;4,"0–3.9 s",IF(electric_vehicles_spec_2025_csv[[#This Row],[acceleration_0_100_s]]&lt;6,"4.0–5.9 s",IF(electric_vehicles_spec_2025_csv[[#This Row],[acceleration_0_100_s]]&lt;8,"6.0–7.9 s","8.0+ s")))</f>
        <v>4.0–5.9 s</v>
      </c>
      <c r="P39" s="16">
        <v>281</v>
      </c>
      <c r="Q39" s="16" t="str">
        <f>IF(electric_vehicles_spec_2025_csv[[#This Row],[fast_charging_power_kw_dc]]&lt;50,"0–49 kW",IF(electric_vehicles_spec_2025_csv[[#This Row],[fast_charging_power_kw_dc]]&lt;100,"50–99 kW",IF(electric_vehicles_spec_2025_csv[[#This Row],[fast_charging_power_kw_dc]]&lt;150,"100–149 kW","150+ kW")))</f>
        <v>150+ kW</v>
      </c>
      <c r="R39" s="16" t="s">
        <v>25</v>
      </c>
      <c r="S39" s="16">
        <v>0</v>
      </c>
      <c r="T39" s="16" t="s">
        <v>130</v>
      </c>
      <c r="U39" s="16">
        <v>4</v>
      </c>
      <c r="V39" s="16" t="s">
        <v>70</v>
      </c>
      <c r="W39" s="16" t="s">
        <v>124</v>
      </c>
      <c r="X39" s="16">
        <v>5004</v>
      </c>
      <c r="Y39" s="16">
        <v>1964</v>
      </c>
      <c r="Z39" s="16">
        <v>1394</v>
      </c>
      <c r="AA39" s="16" t="s">
        <v>125</v>
      </c>
      <c r="AB39" s="16" t="s">
        <v>133</v>
      </c>
    </row>
    <row r="40" spans="1:28" x14ac:dyDescent="0.3">
      <c r="A40" s="16" t="s">
        <v>134</v>
      </c>
      <c r="B40" s="16" t="s">
        <v>135</v>
      </c>
      <c r="C40" s="16">
        <v>225</v>
      </c>
      <c r="D4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40" s="16">
        <v>81.3</v>
      </c>
      <c r="F40" s="16" t="str">
        <f>IF(electric_vehicles_spec_2025_csv[[#This Row],[battery_capacity_kWh]]&lt;=30, "0–30 kWh", IF(electric_vehicles_spec_2025_csv[[#This Row],[battery_capacity_kWh]]&lt;=60, "31–60 kWh", "61+ kWh"))</f>
        <v>61+ kWh</v>
      </c>
      <c r="G40" s="16" t="s">
        <v>24</v>
      </c>
      <c r="H40" s="16"/>
      <c r="I40" s="16">
        <v>795</v>
      </c>
      <c r="J40" s="16">
        <v>197</v>
      </c>
      <c r="K40" s="16" t="str">
        <f t="shared" si="0"/>
        <v>161+ Wh/km</v>
      </c>
      <c r="L40" s="16">
        <v>450</v>
      </c>
      <c r="M40" s="16" t="str">
        <f>IF(electric_vehicles_spec_2025_csv[[#This Row],[range_km]]&lt;=200, "0–200 km",IF(electric_vehicles_spec_2025_csv[[#This Row],[range_km]]&lt;=400, "201–400 km", "401+ km"))</f>
        <v>401+ km</v>
      </c>
      <c r="N40" s="16">
        <v>3.9</v>
      </c>
      <c r="O40" s="16" t="str">
        <f>IF(electric_vehicles_spec_2025_csv[[#This Row],[acceleration_0_100_s]]&lt;4,"0–3.9 s",IF(electric_vehicles_spec_2025_csv[[#This Row],[acceleration_0_100_s]]&lt;6,"4.0–5.9 s",IF(electric_vehicles_spec_2025_csv[[#This Row],[acceleration_0_100_s]]&lt;8,"6.0–7.9 s","8.0+ s")))</f>
        <v>0–3.9 s</v>
      </c>
      <c r="P40" s="16">
        <v>131</v>
      </c>
      <c r="Q40" s="16" t="str">
        <f>IF(electric_vehicles_spec_2025_csv[[#This Row],[fast_charging_power_kw_dc]]&lt;50,"0–49 kW",IF(electric_vehicles_spec_2025_csv[[#This Row],[fast_charging_power_kw_dc]]&lt;100,"50–99 kW",IF(electric_vehicles_spec_2025_csv[[#This Row],[fast_charging_power_kw_dc]]&lt;150,"100–149 kW","150+ kW")))</f>
        <v>100–149 kW</v>
      </c>
      <c r="R40" s="16" t="s">
        <v>25</v>
      </c>
      <c r="S40" s="16">
        <v>1600</v>
      </c>
      <c r="T40" s="16" t="s">
        <v>136</v>
      </c>
      <c r="U40" s="16">
        <v>5</v>
      </c>
      <c r="V40" s="16" t="s">
        <v>70</v>
      </c>
      <c r="W40" s="16" t="s">
        <v>137</v>
      </c>
      <c r="X40" s="16">
        <v>4783</v>
      </c>
      <c r="Y40" s="16">
        <v>1852</v>
      </c>
      <c r="Z40" s="16">
        <v>1448</v>
      </c>
      <c r="AA40" s="16" t="s">
        <v>73</v>
      </c>
      <c r="AB40" s="16" t="s">
        <v>138</v>
      </c>
    </row>
    <row r="41" spans="1:28" x14ac:dyDescent="0.3">
      <c r="A41" s="16" t="s">
        <v>134</v>
      </c>
      <c r="B41" s="16" t="s">
        <v>139</v>
      </c>
      <c r="C41" s="16">
        <v>190</v>
      </c>
      <c r="D4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1" s="16">
        <v>67.099999999999994</v>
      </c>
      <c r="F41" s="16" t="str">
        <f>IF(electric_vehicles_spec_2025_csv[[#This Row],[battery_capacity_kWh]]&lt;=30, "0–30 kWh", IF(electric_vehicles_spec_2025_csv[[#This Row],[battery_capacity_kWh]]&lt;=60, "31–60 kWh", "61+ kWh"))</f>
        <v>61+ kWh</v>
      </c>
      <c r="G41" s="16" t="s">
        <v>24</v>
      </c>
      <c r="H41" s="16"/>
      <c r="I41" s="16">
        <v>400</v>
      </c>
      <c r="J41" s="16">
        <v>174</v>
      </c>
      <c r="K41" s="16" t="str">
        <f t="shared" si="0"/>
        <v>161+ Wh/km</v>
      </c>
      <c r="L41" s="16">
        <v>430</v>
      </c>
      <c r="M41" s="16" t="str">
        <f>IF(electric_vehicles_spec_2025_csv[[#This Row],[range_km]]&lt;=200, "0–200 km",IF(electric_vehicles_spec_2025_csv[[#This Row],[range_km]]&lt;=400, "201–400 km", "401+ km"))</f>
        <v>401+ km</v>
      </c>
      <c r="N41" s="16">
        <v>6</v>
      </c>
      <c r="O41" s="16" t="str">
        <f>IF(electric_vehicles_spec_2025_csv[[#This Row],[acceleration_0_100_s]]&lt;4,"0–3.9 s",IF(electric_vehicles_spec_2025_csv[[#This Row],[acceleration_0_100_s]]&lt;6,"4.0–5.9 s",IF(electric_vehicles_spec_2025_csv[[#This Row],[acceleration_0_100_s]]&lt;8,"6.0–7.9 s","8.0+ s")))</f>
        <v>6.0–7.9 s</v>
      </c>
      <c r="P41" s="16">
        <v>95</v>
      </c>
      <c r="Q41" s="16" t="str">
        <f>IF(electric_vehicles_spec_2025_csv[[#This Row],[fast_charging_power_kw_dc]]&lt;50,"0–49 kW",IF(electric_vehicles_spec_2025_csv[[#This Row],[fast_charging_power_kw_dc]]&lt;100,"50–99 kW",IF(electric_vehicles_spec_2025_csv[[#This Row],[fast_charging_power_kw_dc]]&lt;150,"100–149 kW","150+ kW")))</f>
        <v>50–99 kW</v>
      </c>
      <c r="R41" s="16" t="s">
        <v>25</v>
      </c>
      <c r="S41" s="16">
        <v>1600</v>
      </c>
      <c r="T41" s="16" t="s">
        <v>136</v>
      </c>
      <c r="U41" s="16">
        <v>5</v>
      </c>
      <c r="V41" s="16" t="s">
        <v>63</v>
      </c>
      <c r="W41" s="16" t="s">
        <v>137</v>
      </c>
      <c r="X41" s="16">
        <v>4783</v>
      </c>
      <c r="Y41" s="16">
        <v>1852</v>
      </c>
      <c r="Z41" s="16">
        <v>1448</v>
      </c>
      <c r="AA41" s="16" t="s">
        <v>73</v>
      </c>
      <c r="AB41" s="16" t="s">
        <v>140</v>
      </c>
    </row>
    <row r="42" spans="1:28" x14ac:dyDescent="0.3">
      <c r="A42" s="16" t="s">
        <v>134</v>
      </c>
      <c r="B42" s="16" t="s">
        <v>141</v>
      </c>
      <c r="C42" s="16">
        <v>190</v>
      </c>
      <c r="D4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2" s="16">
        <v>81.3</v>
      </c>
      <c r="F42" s="16" t="str">
        <f>IF(electric_vehicles_spec_2025_csv[[#This Row],[battery_capacity_kWh]]&lt;=30, "0–30 kWh", IF(electric_vehicles_spec_2025_csv[[#This Row],[battery_capacity_kWh]]&lt;=60, "31–60 kWh", "61+ kWh"))</f>
        <v>61+ kWh</v>
      </c>
      <c r="G42" s="16" t="s">
        <v>24</v>
      </c>
      <c r="H42" s="16"/>
      <c r="I42" s="16">
        <v>430</v>
      </c>
      <c r="J42" s="16">
        <v>174</v>
      </c>
      <c r="K42" s="16" t="str">
        <f t="shared" si="0"/>
        <v>161+ Wh/km</v>
      </c>
      <c r="L42" s="16">
        <v>515</v>
      </c>
      <c r="M42" s="16" t="str">
        <f>IF(electric_vehicles_spec_2025_csv[[#This Row],[range_km]]&lt;=200, "0–200 km",IF(electric_vehicles_spec_2025_csv[[#This Row],[range_km]]&lt;=400, "201–400 km", "401+ km"))</f>
        <v>401+ km</v>
      </c>
      <c r="N42" s="16">
        <v>5.6</v>
      </c>
      <c r="O42" s="16" t="str">
        <f>IF(electric_vehicles_spec_2025_csv[[#This Row],[acceleration_0_100_s]]&lt;4,"0–3.9 s",IF(electric_vehicles_spec_2025_csv[[#This Row],[acceleration_0_100_s]]&lt;6,"4.0–5.9 s",IF(electric_vehicles_spec_2025_csv[[#This Row],[acceleration_0_100_s]]&lt;8,"6.0–7.9 s","8.0+ s")))</f>
        <v>4.0–5.9 s</v>
      </c>
      <c r="P42" s="16">
        <v>131</v>
      </c>
      <c r="Q42" s="16" t="str">
        <f>IF(electric_vehicles_spec_2025_csv[[#This Row],[fast_charging_power_kw_dc]]&lt;50,"0–49 kW",IF(electric_vehicles_spec_2025_csv[[#This Row],[fast_charging_power_kw_dc]]&lt;100,"50–99 kW",IF(electric_vehicles_spec_2025_csv[[#This Row],[fast_charging_power_kw_dc]]&lt;150,"100–149 kW","150+ kW")))</f>
        <v>100–149 kW</v>
      </c>
      <c r="R42" s="16" t="s">
        <v>25</v>
      </c>
      <c r="S42" s="16">
        <v>1600</v>
      </c>
      <c r="T42" s="16" t="s">
        <v>136</v>
      </c>
      <c r="U42" s="16">
        <v>5</v>
      </c>
      <c r="V42" s="16" t="s">
        <v>63</v>
      </c>
      <c r="W42" s="16" t="s">
        <v>137</v>
      </c>
      <c r="X42" s="16">
        <v>4783</v>
      </c>
      <c r="Y42" s="16">
        <v>1852</v>
      </c>
      <c r="Z42" s="16">
        <v>1448</v>
      </c>
      <c r="AA42" s="16" t="s">
        <v>73</v>
      </c>
      <c r="AB42" s="16" t="s">
        <v>142</v>
      </c>
    </row>
    <row r="43" spans="1:28" x14ac:dyDescent="0.3">
      <c r="A43" s="16" t="s">
        <v>134</v>
      </c>
      <c r="B43" s="16" t="s">
        <v>143</v>
      </c>
      <c r="C43" s="16">
        <v>200</v>
      </c>
      <c r="D4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3" s="16">
        <v>81.3</v>
      </c>
      <c r="F43" s="16" t="str">
        <f>IF(electric_vehicles_spec_2025_csv[[#This Row],[battery_capacity_kWh]]&lt;=30, "0–30 kWh", IF(electric_vehicles_spec_2025_csv[[#This Row],[battery_capacity_kWh]]&lt;=60, "31–60 kWh", "61+ kWh"))</f>
        <v>61+ kWh</v>
      </c>
      <c r="G43" s="16" t="s">
        <v>24</v>
      </c>
      <c r="H43" s="16"/>
      <c r="I43" s="16">
        <v>600</v>
      </c>
      <c r="J43" s="16">
        <v>183</v>
      </c>
      <c r="K43" s="16" t="str">
        <f t="shared" si="0"/>
        <v>161+ Wh/km</v>
      </c>
      <c r="L43" s="16">
        <v>490</v>
      </c>
      <c r="M43" s="16" t="str">
        <f>IF(electric_vehicles_spec_2025_csv[[#This Row],[range_km]]&lt;=200, "0–200 km",IF(electric_vehicles_spec_2025_csv[[#This Row],[range_km]]&lt;=400, "201–400 km", "401+ km"))</f>
        <v>401+ km</v>
      </c>
      <c r="N43" s="16">
        <v>5.0999999999999996</v>
      </c>
      <c r="O43" s="16" t="str">
        <f>IF(electric_vehicles_spec_2025_csv[[#This Row],[acceleration_0_100_s]]&lt;4,"0–3.9 s",IF(electric_vehicles_spec_2025_csv[[#This Row],[acceleration_0_100_s]]&lt;6,"4.0–5.9 s",IF(electric_vehicles_spec_2025_csv[[#This Row],[acceleration_0_100_s]]&lt;8,"6.0–7.9 s","8.0+ s")))</f>
        <v>4.0–5.9 s</v>
      </c>
      <c r="P43" s="16">
        <v>131</v>
      </c>
      <c r="Q43" s="16" t="str">
        <f>IF(electric_vehicles_spec_2025_csv[[#This Row],[fast_charging_power_kw_dc]]&lt;50,"0–49 kW",IF(electric_vehicles_spec_2025_csv[[#This Row],[fast_charging_power_kw_dc]]&lt;100,"50–99 kW",IF(electric_vehicles_spec_2025_csv[[#This Row],[fast_charging_power_kw_dc]]&lt;150,"100–149 kW","150+ kW")))</f>
        <v>100–149 kW</v>
      </c>
      <c r="R43" s="16" t="s">
        <v>25</v>
      </c>
      <c r="S43" s="16">
        <v>1600</v>
      </c>
      <c r="T43" s="16" t="s">
        <v>136</v>
      </c>
      <c r="U43" s="16">
        <v>5</v>
      </c>
      <c r="V43" s="16" t="s">
        <v>70</v>
      </c>
      <c r="W43" s="16" t="s">
        <v>137</v>
      </c>
      <c r="X43" s="16">
        <v>4783</v>
      </c>
      <c r="Y43" s="16">
        <v>1852</v>
      </c>
      <c r="Z43" s="16">
        <v>1448</v>
      </c>
      <c r="AA43" s="16" t="s">
        <v>73</v>
      </c>
      <c r="AB43" s="16" t="s">
        <v>144</v>
      </c>
    </row>
    <row r="44" spans="1:28" x14ac:dyDescent="0.3">
      <c r="A44" s="16" t="s">
        <v>134</v>
      </c>
      <c r="B44" s="16" t="s">
        <v>145</v>
      </c>
      <c r="C44" s="16">
        <v>230</v>
      </c>
      <c r="D4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44" s="16">
        <v>81.2</v>
      </c>
      <c r="F44" s="16" t="str">
        <f>IF(electric_vehicles_spec_2025_csv[[#This Row],[battery_capacity_kWh]]&lt;=30, "0–30 kWh", IF(electric_vehicles_spec_2025_csv[[#This Row],[battery_capacity_kWh]]&lt;=60, "31–60 kWh", "61+ kWh"))</f>
        <v>61+ kWh</v>
      </c>
      <c r="G44" s="16" t="s">
        <v>24</v>
      </c>
      <c r="H44" s="16"/>
      <c r="I44" s="16">
        <v>795</v>
      </c>
      <c r="J44" s="16">
        <v>172</v>
      </c>
      <c r="K44" s="16" t="str">
        <f t="shared" si="0"/>
        <v>161+ Wh/km</v>
      </c>
      <c r="L44" s="16">
        <v>430</v>
      </c>
      <c r="M44" s="16" t="str">
        <f>IF(electric_vehicles_spec_2025_csv[[#This Row],[range_km]]&lt;=200, "0–200 km",IF(electric_vehicles_spec_2025_csv[[#This Row],[range_km]]&lt;=400, "201–400 km", "401+ km"))</f>
        <v>401+ km</v>
      </c>
      <c r="N44" s="16">
        <v>3.8</v>
      </c>
      <c r="O44" s="16" t="str">
        <f>IF(electric_vehicles_spec_2025_csv[[#This Row],[acceleration_0_100_s]]&lt;4,"0–3.9 s",IF(electric_vehicles_spec_2025_csv[[#This Row],[acceleration_0_100_s]]&lt;6,"4.0–5.9 s",IF(electric_vehicles_spec_2025_csv[[#This Row],[acceleration_0_100_s]]&lt;8,"6.0–7.9 s","8.0+ s")))</f>
        <v>0–3.9 s</v>
      </c>
      <c r="P44" s="16">
        <v>136</v>
      </c>
      <c r="Q44" s="16" t="str">
        <f>IF(electric_vehicles_spec_2025_csv[[#This Row],[fast_charging_power_kw_dc]]&lt;50,"0–49 kW",IF(electric_vehicles_spec_2025_csv[[#This Row],[fast_charging_power_kw_dc]]&lt;100,"50–99 kW",IF(electric_vehicles_spec_2025_csv[[#This Row],[fast_charging_power_kw_dc]]&lt;150,"100–149 kW","150+ kW")))</f>
        <v>100–149 kW</v>
      </c>
      <c r="R44" s="16" t="s">
        <v>25</v>
      </c>
      <c r="S44" s="16">
        <v>2000</v>
      </c>
      <c r="T44" s="16" t="s">
        <v>146</v>
      </c>
      <c r="U44" s="16">
        <v>5</v>
      </c>
      <c r="V44" s="16" t="s">
        <v>70</v>
      </c>
      <c r="W44" s="16" t="s">
        <v>147</v>
      </c>
      <c r="X44" s="16">
        <v>5060</v>
      </c>
      <c r="Y44" s="16">
        <v>1900</v>
      </c>
      <c r="Z44" s="16">
        <v>1505</v>
      </c>
      <c r="AA44" s="16" t="s">
        <v>125</v>
      </c>
      <c r="AB44" s="16" t="s">
        <v>148</v>
      </c>
    </row>
    <row r="45" spans="1:28" x14ac:dyDescent="0.3">
      <c r="A45" s="16" t="s">
        <v>134</v>
      </c>
      <c r="B45" s="16" t="s">
        <v>149</v>
      </c>
      <c r="C45" s="16">
        <v>230</v>
      </c>
      <c r="D4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45" s="16">
        <v>81.2</v>
      </c>
      <c r="F45" s="16" t="str">
        <f>IF(electric_vehicles_spec_2025_csv[[#This Row],[battery_capacity_kWh]]&lt;=30, "0–30 kWh", IF(electric_vehicles_spec_2025_csv[[#This Row],[battery_capacity_kWh]]&lt;=60, "31–60 kWh", "61+ kWh"))</f>
        <v>61+ kWh</v>
      </c>
      <c r="G45" s="16" t="s">
        <v>24</v>
      </c>
      <c r="H45" s="16"/>
      <c r="I45" s="16">
        <v>795</v>
      </c>
      <c r="J45" s="16">
        <v>179</v>
      </c>
      <c r="K45" s="16" t="str">
        <f t="shared" si="0"/>
        <v>161+ Wh/km</v>
      </c>
      <c r="L45" s="16">
        <v>425</v>
      </c>
      <c r="M45" s="16" t="str">
        <f>IF(electric_vehicles_spec_2025_csv[[#This Row],[range_km]]&lt;=200, "0–200 km",IF(electric_vehicles_spec_2025_csv[[#This Row],[range_km]]&lt;=400, "201–400 km", "401+ km"))</f>
        <v>401+ km</v>
      </c>
      <c r="N45" s="16">
        <v>3.9</v>
      </c>
      <c r="O45" s="16" t="str">
        <f>IF(electric_vehicles_spec_2025_csv[[#This Row],[acceleration_0_100_s]]&lt;4,"0–3.9 s",IF(electric_vehicles_spec_2025_csv[[#This Row],[acceleration_0_100_s]]&lt;6,"4.0–5.9 s",IF(electric_vehicles_spec_2025_csv[[#This Row],[acceleration_0_100_s]]&lt;8,"6.0–7.9 s","8.0+ s")))</f>
        <v>0–3.9 s</v>
      </c>
      <c r="P45" s="16">
        <v>136</v>
      </c>
      <c r="Q45" s="16" t="str">
        <f>IF(electric_vehicles_spec_2025_csv[[#This Row],[fast_charging_power_kw_dc]]&lt;50,"0–49 kW",IF(electric_vehicles_spec_2025_csv[[#This Row],[fast_charging_power_kw_dc]]&lt;100,"50–99 kW",IF(electric_vehicles_spec_2025_csv[[#This Row],[fast_charging_power_kw_dc]]&lt;150,"100–149 kW","150+ kW")))</f>
        <v>100–149 kW</v>
      </c>
      <c r="R45" s="16" t="s">
        <v>25</v>
      </c>
      <c r="S45" s="16">
        <v>2000</v>
      </c>
      <c r="T45" s="16" t="s">
        <v>150</v>
      </c>
      <c r="U45" s="16">
        <v>5</v>
      </c>
      <c r="V45" s="16" t="s">
        <v>70</v>
      </c>
      <c r="W45" s="16" t="s">
        <v>147</v>
      </c>
      <c r="X45" s="16">
        <v>5060</v>
      </c>
      <c r="Y45" s="16">
        <v>1900</v>
      </c>
      <c r="Z45" s="16">
        <v>1505</v>
      </c>
      <c r="AA45" s="16" t="s">
        <v>65</v>
      </c>
      <c r="AB45" s="16" t="s">
        <v>151</v>
      </c>
    </row>
    <row r="46" spans="1:28" x14ac:dyDescent="0.3">
      <c r="A46" s="16" t="s">
        <v>134</v>
      </c>
      <c r="B46" s="16" t="s">
        <v>152</v>
      </c>
      <c r="C46" s="16">
        <v>193</v>
      </c>
      <c r="D4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6" s="16">
        <v>81.2</v>
      </c>
      <c r="F46" s="16" t="str">
        <f>IF(electric_vehicles_spec_2025_csv[[#This Row],[battery_capacity_kWh]]&lt;=30, "0–30 kWh", IF(electric_vehicles_spec_2025_csv[[#This Row],[battery_capacity_kWh]]&lt;=60, "31–60 kWh", "61+ kWh"))</f>
        <v>61+ kWh</v>
      </c>
      <c r="G46" s="16" t="s">
        <v>24</v>
      </c>
      <c r="H46" s="16"/>
      <c r="I46" s="16">
        <v>400</v>
      </c>
      <c r="J46" s="16">
        <v>159</v>
      </c>
      <c r="K46" s="16" t="str">
        <f t="shared" si="0"/>
        <v>131–160 Wh/km</v>
      </c>
      <c r="L46" s="16">
        <v>480</v>
      </c>
      <c r="M46" s="16" t="str">
        <f>IF(electric_vehicles_spec_2025_csv[[#This Row],[range_km]]&lt;=200, "0–200 km",IF(electric_vehicles_spec_2025_csv[[#This Row],[range_km]]&lt;=400, "201–400 km", "401+ km"))</f>
        <v>401+ km</v>
      </c>
      <c r="N46" s="16">
        <v>6</v>
      </c>
      <c r="O46" s="16" t="str">
        <f>IF(electric_vehicles_spec_2025_csv[[#This Row],[acceleration_0_100_s]]&lt;4,"0–3.9 s",IF(electric_vehicles_spec_2025_csv[[#This Row],[acceleration_0_100_s]]&lt;6,"4.0–5.9 s",IF(electric_vehicles_spec_2025_csv[[#This Row],[acceleration_0_100_s]]&lt;8,"6.0–7.9 s","8.0+ s")))</f>
        <v>6.0–7.9 s</v>
      </c>
      <c r="P46" s="16">
        <v>136</v>
      </c>
      <c r="Q46" s="16" t="str">
        <f>IF(electric_vehicles_spec_2025_csv[[#This Row],[fast_charging_power_kw_dc]]&lt;50,"0–49 kW",IF(electric_vehicles_spec_2025_csv[[#This Row],[fast_charging_power_kw_dc]]&lt;100,"50–99 kW",IF(electric_vehicles_spec_2025_csv[[#This Row],[fast_charging_power_kw_dc]]&lt;150,"100–149 kW","150+ kW")))</f>
        <v>100–149 kW</v>
      </c>
      <c r="R46" s="16" t="s">
        <v>25</v>
      </c>
      <c r="S46" s="16">
        <v>1500</v>
      </c>
      <c r="T46" s="16" t="s">
        <v>146</v>
      </c>
      <c r="U46" s="16">
        <v>5</v>
      </c>
      <c r="V46" s="16" t="s">
        <v>63</v>
      </c>
      <c r="W46" s="16" t="s">
        <v>147</v>
      </c>
      <c r="X46" s="16">
        <v>5060</v>
      </c>
      <c r="Y46" s="16">
        <v>1900</v>
      </c>
      <c r="Z46" s="16">
        <v>1515</v>
      </c>
      <c r="AA46" s="16" t="s">
        <v>125</v>
      </c>
      <c r="AB46" s="16" t="s">
        <v>153</v>
      </c>
    </row>
    <row r="47" spans="1:28" x14ac:dyDescent="0.3">
      <c r="A47" s="16" t="s">
        <v>134</v>
      </c>
      <c r="B47" s="16" t="s">
        <v>154</v>
      </c>
      <c r="C47" s="16">
        <v>193</v>
      </c>
      <c r="D4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7" s="16">
        <v>81.2</v>
      </c>
      <c r="F47" s="16" t="str">
        <f>IF(electric_vehicles_spec_2025_csv[[#This Row],[battery_capacity_kWh]]&lt;=30, "0–30 kWh", IF(electric_vehicles_spec_2025_csv[[#This Row],[battery_capacity_kWh]]&lt;=60, "31–60 kWh", "61+ kWh"))</f>
        <v>61+ kWh</v>
      </c>
      <c r="G47" s="16" t="s">
        <v>24</v>
      </c>
      <c r="H47" s="16"/>
      <c r="I47" s="16">
        <v>400</v>
      </c>
      <c r="J47" s="16">
        <v>165</v>
      </c>
      <c r="K47" s="16" t="str">
        <f t="shared" si="0"/>
        <v>161+ Wh/km</v>
      </c>
      <c r="L47" s="16">
        <v>465</v>
      </c>
      <c r="M47" s="16" t="str">
        <f>IF(electric_vehicles_spec_2025_csv[[#This Row],[range_km]]&lt;=200, "0–200 km",IF(electric_vehicles_spec_2025_csv[[#This Row],[range_km]]&lt;=400, "201–400 km", "401+ km"))</f>
        <v>401+ km</v>
      </c>
      <c r="N47" s="16">
        <v>6.1</v>
      </c>
      <c r="O47" s="16" t="str">
        <f>IF(electric_vehicles_spec_2025_csv[[#This Row],[acceleration_0_100_s]]&lt;4,"0–3.9 s",IF(electric_vehicles_spec_2025_csv[[#This Row],[acceleration_0_100_s]]&lt;6,"4.0–5.9 s",IF(electric_vehicles_spec_2025_csv[[#This Row],[acceleration_0_100_s]]&lt;8,"6.0–7.9 s","8.0+ s")))</f>
        <v>6.0–7.9 s</v>
      </c>
      <c r="P47" s="16">
        <v>136</v>
      </c>
      <c r="Q47" s="16" t="str">
        <f>IF(electric_vehicles_spec_2025_csv[[#This Row],[fast_charging_power_kw_dc]]&lt;50,"0–49 kW",IF(electric_vehicles_spec_2025_csv[[#This Row],[fast_charging_power_kw_dc]]&lt;100,"50–99 kW",IF(electric_vehicles_spec_2025_csv[[#This Row],[fast_charging_power_kw_dc]]&lt;150,"100–149 kW","150+ kW")))</f>
        <v>100–149 kW</v>
      </c>
      <c r="R47" s="16" t="s">
        <v>25</v>
      </c>
      <c r="S47" s="16">
        <v>1500</v>
      </c>
      <c r="T47" s="16" t="s">
        <v>150</v>
      </c>
      <c r="U47" s="16">
        <v>5</v>
      </c>
      <c r="V47" s="16" t="s">
        <v>63</v>
      </c>
      <c r="W47" s="16" t="s">
        <v>147</v>
      </c>
      <c r="X47" s="16">
        <v>5060</v>
      </c>
      <c r="Y47" s="16">
        <v>1900</v>
      </c>
      <c r="Z47" s="16">
        <v>1515</v>
      </c>
      <c r="AA47" s="16" t="s">
        <v>65</v>
      </c>
      <c r="AB47" s="16" t="s">
        <v>155</v>
      </c>
    </row>
    <row r="48" spans="1:28" x14ac:dyDescent="0.3">
      <c r="A48" s="16" t="s">
        <v>134</v>
      </c>
      <c r="B48" s="16" t="s">
        <v>156</v>
      </c>
      <c r="C48" s="16">
        <v>215</v>
      </c>
      <c r="D4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8" s="16">
        <v>81.2</v>
      </c>
      <c r="F48" s="16" t="str">
        <f>IF(electric_vehicles_spec_2025_csv[[#This Row],[battery_capacity_kWh]]&lt;=30, "0–30 kWh", IF(electric_vehicles_spec_2025_csv[[#This Row],[battery_capacity_kWh]]&lt;=60, "31–60 kWh", "61+ kWh"))</f>
        <v>61+ kWh</v>
      </c>
      <c r="G48" s="16" t="s">
        <v>24</v>
      </c>
      <c r="H48" s="16"/>
      <c r="I48" s="16">
        <v>590</v>
      </c>
      <c r="J48" s="16">
        <v>167</v>
      </c>
      <c r="K48" s="16" t="str">
        <f t="shared" si="0"/>
        <v>161+ Wh/km</v>
      </c>
      <c r="L48" s="16">
        <v>465</v>
      </c>
      <c r="M48" s="16" t="str">
        <f>IF(electric_vehicles_spec_2025_csv[[#This Row],[range_km]]&lt;=200, "0–200 km",IF(electric_vehicles_spec_2025_csv[[#This Row],[range_km]]&lt;=400, "201–400 km", "401+ km"))</f>
        <v>401+ km</v>
      </c>
      <c r="N48" s="16">
        <v>5.4</v>
      </c>
      <c r="O48" s="16" t="str">
        <f>IF(electric_vehicles_spec_2025_csv[[#This Row],[acceleration_0_100_s]]&lt;4,"0–3.9 s",IF(electric_vehicles_spec_2025_csv[[#This Row],[acceleration_0_100_s]]&lt;6,"4.0–5.9 s",IF(electric_vehicles_spec_2025_csv[[#This Row],[acceleration_0_100_s]]&lt;8,"6.0–7.9 s","8.0+ s")))</f>
        <v>4.0–5.9 s</v>
      </c>
      <c r="P48" s="16">
        <v>136</v>
      </c>
      <c r="Q48" s="16" t="str">
        <f>IF(electric_vehicles_spec_2025_csv[[#This Row],[fast_charging_power_kw_dc]]&lt;50,"0–49 kW",IF(electric_vehicles_spec_2025_csv[[#This Row],[fast_charging_power_kw_dc]]&lt;100,"50–99 kW",IF(electric_vehicles_spec_2025_csv[[#This Row],[fast_charging_power_kw_dc]]&lt;150,"100–149 kW","150+ kW")))</f>
        <v>100–149 kW</v>
      </c>
      <c r="R48" s="16" t="s">
        <v>25</v>
      </c>
      <c r="S48" s="16">
        <v>2000</v>
      </c>
      <c r="T48" s="16" t="s">
        <v>146</v>
      </c>
      <c r="U48" s="16">
        <v>5</v>
      </c>
      <c r="V48" s="16" t="s">
        <v>70</v>
      </c>
      <c r="W48" s="16" t="s">
        <v>147</v>
      </c>
      <c r="X48" s="16">
        <v>5060</v>
      </c>
      <c r="Y48" s="16">
        <v>1900</v>
      </c>
      <c r="Z48" s="16">
        <v>1515</v>
      </c>
      <c r="AA48" s="16" t="s">
        <v>125</v>
      </c>
      <c r="AB48" s="16" t="s">
        <v>157</v>
      </c>
    </row>
    <row r="49" spans="1:28" x14ac:dyDescent="0.3">
      <c r="A49" s="16" t="s">
        <v>134</v>
      </c>
      <c r="B49" s="16" t="s">
        <v>158</v>
      </c>
      <c r="C49" s="16">
        <v>215</v>
      </c>
      <c r="D4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9" s="16">
        <v>81.2</v>
      </c>
      <c r="F49" s="16" t="str">
        <f>IF(electric_vehicles_spec_2025_csv[[#This Row],[battery_capacity_kWh]]&lt;=30, "0–30 kWh", IF(electric_vehicles_spec_2025_csv[[#This Row],[battery_capacity_kWh]]&lt;=60, "31–60 kWh", "61+ kWh"))</f>
        <v>61+ kWh</v>
      </c>
      <c r="G49" s="16" t="s">
        <v>24</v>
      </c>
      <c r="H49" s="16"/>
      <c r="I49" s="16">
        <v>590</v>
      </c>
      <c r="J49" s="16">
        <v>174</v>
      </c>
      <c r="K49" s="16" t="str">
        <f t="shared" si="0"/>
        <v>161+ Wh/km</v>
      </c>
      <c r="L49" s="16">
        <v>450</v>
      </c>
      <c r="M49" s="16" t="str">
        <f>IF(electric_vehicles_spec_2025_csv[[#This Row],[range_km]]&lt;=200, "0–200 km",IF(electric_vehicles_spec_2025_csv[[#This Row],[range_km]]&lt;=400, "201–400 km", "401+ km"))</f>
        <v>401+ km</v>
      </c>
      <c r="N49" s="16">
        <v>5.5</v>
      </c>
      <c r="O49" s="16" t="str">
        <f>IF(electric_vehicles_spec_2025_csv[[#This Row],[acceleration_0_100_s]]&lt;4,"0–3.9 s",IF(electric_vehicles_spec_2025_csv[[#This Row],[acceleration_0_100_s]]&lt;6,"4.0–5.9 s",IF(electric_vehicles_spec_2025_csv[[#This Row],[acceleration_0_100_s]]&lt;8,"6.0–7.9 s","8.0+ s")))</f>
        <v>4.0–5.9 s</v>
      </c>
      <c r="P49" s="16">
        <v>136</v>
      </c>
      <c r="Q49" s="16" t="str">
        <f>IF(electric_vehicles_spec_2025_csv[[#This Row],[fast_charging_power_kw_dc]]&lt;50,"0–49 kW",IF(electric_vehicles_spec_2025_csv[[#This Row],[fast_charging_power_kw_dc]]&lt;100,"50–99 kW",IF(electric_vehicles_spec_2025_csv[[#This Row],[fast_charging_power_kw_dc]]&lt;150,"100–149 kW","150+ kW")))</f>
        <v>100–149 kW</v>
      </c>
      <c r="R49" s="16" t="s">
        <v>25</v>
      </c>
      <c r="S49" s="16">
        <v>2000</v>
      </c>
      <c r="T49" s="16" t="s">
        <v>150</v>
      </c>
      <c r="U49" s="16">
        <v>5</v>
      </c>
      <c r="V49" s="16" t="s">
        <v>70</v>
      </c>
      <c r="W49" s="16" t="s">
        <v>147</v>
      </c>
      <c r="X49" s="16">
        <v>5060</v>
      </c>
      <c r="Y49" s="16">
        <v>1900</v>
      </c>
      <c r="Z49" s="16">
        <v>1515</v>
      </c>
      <c r="AA49" s="16" t="s">
        <v>65</v>
      </c>
      <c r="AB49" s="16" t="s">
        <v>159</v>
      </c>
    </row>
    <row r="50" spans="1:28" x14ac:dyDescent="0.3">
      <c r="A50" s="16" t="s">
        <v>134</v>
      </c>
      <c r="B50" s="16" t="s">
        <v>160</v>
      </c>
      <c r="C50" s="16">
        <v>250</v>
      </c>
      <c r="D5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50" s="16">
        <v>101.7</v>
      </c>
      <c r="F50" s="16" t="str">
        <f>IF(electric_vehicles_spec_2025_csv[[#This Row],[battery_capacity_kWh]]&lt;=30, "0–30 kWh", IF(electric_vehicles_spec_2025_csv[[#This Row],[battery_capacity_kWh]]&lt;=60, "31–60 kWh", "61+ kWh"))</f>
        <v>61+ kWh</v>
      </c>
      <c r="G50" s="16" t="s">
        <v>24</v>
      </c>
      <c r="H50" s="16"/>
      <c r="I50" s="16">
        <v>1100</v>
      </c>
      <c r="J50" s="16">
        <v>208</v>
      </c>
      <c r="K50" s="16" t="str">
        <f t="shared" si="0"/>
        <v>161+ Wh/km</v>
      </c>
      <c r="L50" s="16">
        <v>490</v>
      </c>
      <c r="M50" s="16" t="str">
        <f>IF(electric_vehicles_spec_2025_csv[[#This Row],[range_km]]&lt;=200, "0–200 km",IF(electric_vehicles_spec_2025_csv[[#This Row],[range_km]]&lt;=400, "201–400 km", "401+ km"))</f>
        <v>401+ km</v>
      </c>
      <c r="N50" s="16">
        <v>3.7</v>
      </c>
      <c r="O50" s="16" t="str">
        <f>IF(electric_vehicles_spec_2025_csv[[#This Row],[acceleration_0_100_s]]&lt;4,"0–3.9 s",IF(electric_vehicles_spec_2025_csv[[#This Row],[acceleration_0_100_s]]&lt;6,"4.0–5.9 s",IF(electric_vehicles_spec_2025_csv[[#This Row],[acceleration_0_100_s]]&lt;8,"6.0–7.9 s","8.0+ s")))</f>
        <v>0–3.9 s</v>
      </c>
      <c r="P50" s="16">
        <v>159</v>
      </c>
      <c r="Q50" s="16" t="str">
        <f>IF(electric_vehicles_spec_2025_csv[[#This Row],[fast_charging_power_kw_dc]]&lt;50,"0–49 kW",IF(electric_vehicles_spec_2025_csv[[#This Row],[fast_charging_power_kw_dc]]&lt;100,"50–99 kW",IF(electric_vehicles_spec_2025_csv[[#This Row],[fast_charging_power_kw_dc]]&lt;150,"100–149 kW","150+ kW")))</f>
        <v>150+ kW</v>
      </c>
      <c r="R50" s="16" t="s">
        <v>25</v>
      </c>
      <c r="S50" s="16">
        <v>0</v>
      </c>
      <c r="T50" s="16" t="s">
        <v>161</v>
      </c>
      <c r="U50" s="16">
        <v>5</v>
      </c>
      <c r="V50" s="16" t="s">
        <v>70</v>
      </c>
      <c r="W50" s="16" t="s">
        <v>124</v>
      </c>
      <c r="X50" s="16">
        <v>5391</v>
      </c>
      <c r="Y50" s="16">
        <v>1950</v>
      </c>
      <c r="Z50" s="16">
        <v>1544</v>
      </c>
      <c r="AA50" s="16" t="s">
        <v>125</v>
      </c>
      <c r="AB50" s="16" t="s">
        <v>162</v>
      </c>
    </row>
    <row r="51" spans="1:28" x14ac:dyDescent="0.3">
      <c r="A51" s="16" t="s">
        <v>134</v>
      </c>
      <c r="B51" s="16" t="s">
        <v>163</v>
      </c>
      <c r="C51" s="16">
        <v>205</v>
      </c>
      <c r="D5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51" s="16">
        <v>101.7</v>
      </c>
      <c r="F51" s="16" t="str">
        <f>IF(electric_vehicles_spec_2025_csv[[#This Row],[battery_capacity_kWh]]&lt;=30, "0–30 kWh", IF(electric_vehicles_spec_2025_csv[[#This Row],[battery_capacity_kWh]]&lt;=60, "31–60 kWh", "61+ kWh"))</f>
        <v>61+ kWh</v>
      </c>
      <c r="G51" s="16" t="s">
        <v>24</v>
      </c>
      <c r="H51" s="16"/>
      <c r="I51" s="16">
        <v>650</v>
      </c>
      <c r="J51" s="16">
        <v>177</v>
      </c>
      <c r="K51" s="16" t="str">
        <f t="shared" si="0"/>
        <v>161+ Wh/km</v>
      </c>
      <c r="L51" s="16">
        <v>520</v>
      </c>
      <c r="M51" s="16" t="str">
        <f>IF(electric_vehicles_spec_2025_csv[[#This Row],[range_km]]&lt;=200, "0–200 km",IF(electric_vehicles_spec_2025_csv[[#This Row],[range_km]]&lt;=400, "201–400 km", "401+ km"))</f>
        <v>401+ km</v>
      </c>
      <c r="N51" s="16">
        <v>5.5</v>
      </c>
      <c r="O51" s="16" t="str">
        <f>IF(electric_vehicles_spec_2025_csv[[#This Row],[acceleration_0_100_s]]&lt;4,"0–3.9 s",IF(electric_vehicles_spec_2025_csv[[#This Row],[acceleration_0_100_s]]&lt;6,"4.0–5.9 s",IF(electric_vehicles_spec_2025_csv[[#This Row],[acceleration_0_100_s]]&lt;8,"6.0–7.9 s","8.0+ s")))</f>
        <v>4.0–5.9 s</v>
      </c>
      <c r="P51" s="16">
        <v>159</v>
      </c>
      <c r="Q51" s="16" t="str">
        <f>IF(electric_vehicles_spec_2025_csv[[#This Row],[fast_charging_power_kw_dc]]&lt;50,"0–49 kW",IF(electric_vehicles_spec_2025_csv[[#This Row],[fast_charging_power_kw_dc]]&lt;100,"50–99 kW",IF(electric_vehicles_spec_2025_csv[[#This Row],[fast_charging_power_kw_dc]]&lt;150,"100–149 kW","150+ kW")))</f>
        <v>150+ kW</v>
      </c>
      <c r="R51" s="16" t="s">
        <v>25</v>
      </c>
      <c r="S51" s="16">
        <v>0</v>
      </c>
      <c r="T51" s="16" t="s">
        <v>161</v>
      </c>
      <c r="U51" s="16">
        <v>5</v>
      </c>
      <c r="V51" s="16" t="s">
        <v>63</v>
      </c>
      <c r="W51" s="16" t="s">
        <v>124</v>
      </c>
      <c r="X51" s="16">
        <v>5391</v>
      </c>
      <c r="Y51" s="16">
        <v>1950</v>
      </c>
      <c r="Z51" s="16">
        <v>1544</v>
      </c>
      <c r="AA51" s="16" t="s">
        <v>125</v>
      </c>
      <c r="AB51" s="16" t="s">
        <v>164</v>
      </c>
    </row>
    <row r="52" spans="1:28" x14ac:dyDescent="0.3">
      <c r="A52" s="16" t="s">
        <v>134</v>
      </c>
      <c r="B52" s="16" t="s">
        <v>165</v>
      </c>
      <c r="C52" s="16">
        <v>240</v>
      </c>
      <c r="D5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52" s="16">
        <v>101.7</v>
      </c>
      <c r="F52" s="16" t="str">
        <f>IF(electric_vehicles_spec_2025_csv[[#This Row],[battery_capacity_kWh]]&lt;=30, "0–30 kWh", IF(electric_vehicles_spec_2025_csv[[#This Row],[battery_capacity_kWh]]&lt;=60, "31–60 kWh", "61+ kWh"))</f>
        <v>61+ kWh</v>
      </c>
      <c r="G52" s="16" t="s">
        <v>24</v>
      </c>
      <c r="H52" s="16"/>
      <c r="I52" s="16">
        <v>745</v>
      </c>
      <c r="J52" s="16">
        <v>172</v>
      </c>
      <c r="K52" s="16" t="str">
        <f t="shared" si="0"/>
        <v>161+ Wh/km</v>
      </c>
      <c r="L52" s="16">
        <v>510</v>
      </c>
      <c r="M52" s="16" t="str">
        <f>IF(electric_vehicles_spec_2025_csv[[#This Row],[range_km]]&lt;=200, "0–200 km",IF(electric_vehicles_spec_2025_csv[[#This Row],[range_km]]&lt;=400, "201–400 km", "401+ km"))</f>
        <v>401+ km</v>
      </c>
      <c r="N52" s="16">
        <v>4.7</v>
      </c>
      <c r="O52" s="16" t="str">
        <f>IF(electric_vehicles_spec_2025_csv[[#This Row],[acceleration_0_100_s]]&lt;4,"0–3.9 s",IF(electric_vehicles_spec_2025_csv[[#This Row],[acceleration_0_100_s]]&lt;6,"4.0–5.9 s",IF(electric_vehicles_spec_2025_csv[[#This Row],[acceleration_0_100_s]]&lt;8,"6.0–7.9 s","8.0+ s")))</f>
        <v>4.0–5.9 s</v>
      </c>
      <c r="P52" s="16">
        <v>159</v>
      </c>
      <c r="Q52" s="16" t="str">
        <f>IF(electric_vehicles_spec_2025_csv[[#This Row],[fast_charging_power_kw_dc]]&lt;50,"0–49 kW",IF(electric_vehicles_spec_2025_csv[[#This Row],[fast_charging_power_kw_dc]]&lt;100,"50–99 kW",IF(electric_vehicles_spec_2025_csv[[#This Row],[fast_charging_power_kw_dc]]&lt;150,"100–149 kW","150+ kW")))</f>
        <v>150+ kW</v>
      </c>
      <c r="R52" s="16" t="s">
        <v>25</v>
      </c>
      <c r="S52" s="16">
        <v>2000</v>
      </c>
      <c r="T52" s="16" t="s">
        <v>161</v>
      </c>
      <c r="U52" s="16">
        <v>5</v>
      </c>
      <c r="V52" s="16" t="s">
        <v>70</v>
      </c>
      <c r="W52" s="16" t="s">
        <v>124</v>
      </c>
      <c r="X52" s="16">
        <v>5391</v>
      </c>
      <c r="Y52" s="16">
        <v>1950</v>
      </c>
      <c r="Z52" s="16">
        <v>1544</v>
      </c>
      <c r="AA52" s="16" t="s">
        <v>125</v>
      </c>
      <c r="AB52" s="16" t="s">
        <v>166</v>
      </c>
    </row>
    <row r="53" spans="1:28" x14ac:dyDescent="0.3">
      <c r="A53" s="16" t="s">
        <v>134</v>
      </c>
      <c r="B53" s="16" t="s">
        <v>167</v>
      </c>
      <c r="C53" s="16">
        <v>250</v>
      </c>
      <c r="D5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53" s="16">
        <v>108.9</v>
      </c>
      <c r="F53" s="16" t="str">
        <f>IF(electric_vehicles_spec_2025_csv[[#This Row],[battery_capacity_kWh]]&lt;=30, "0–30 kWh", IF(electric_vehicles_spec_2025_csv[[#This Row],[battery_capacity_kWh]]&lt;=60, "31–60 kWh", "61+ kWh"))</f>
        <v>61+ kWh</v>
      </c>
      <c r="G53" s="16" t="s">
        <v>24</v>
      </c>
      <c r="H53" s="16"/>
      <c r="I53" s="16">
        <v>1015</v>
      </c>
      <c r="J53" s="16">
        <v>209</v>
      </c>
      <c r="K53" s="16" t="str">
        <f t="shared" si="0"/>
        <v>161+ Wh/km</v>
      </c>
      <c r="L53" s="16">
        <v>500</v>
      </c>
      <c r="M53" s="16" t="str">
        <f>IF(electric_vehicles_spec_2025_csv[[#This Row],[range_km]]&lt;=200, "0–200 km",IF(electric_vehicles_spec_2025_csv[[#This Row],[range_km]]&lt;=400, "201–400 km", "401+ km"))</f>
        <v>401+ km</v>
      </c>
      <c r="N53" s="16">
        <v>3.8</v>
      </c>
      <c r="O53" s="16" t="str">
        <f>IF(electric_vehicles_spec_2025_csv[[#This Row],[acceleration_0_100_s]]&lt;4,"0–3.9 s",IF(electric_vehicles_spec_2025_csv[[#This Row],[acceleration_0_100_s]]&lt;6,"4.0–5.9 s",IF(electric_vehicles_spec_2025_csv[[#This Row],[acceleration_0_100_s]]&lt;8,"6.0–7.9 s","8.0+ s")))</f>
        <v>0–3.9 s</v>
      </c>
      <c r="P53" s="16">
        <v>150</v>
      </c>
      <c r="Q53" s="16" t="str">
        <f>IF(electric_vehicles_spec_2025_csv[[#This Row],[fast_charging_power_kw_dc]]&lt;50,"0–49 kW",IF(electric_vehicles_spec_2025_csv[[#This Row],[fast_charging_power_kw_dc]]&lt;100,"50–99 kW",IF(electric_vehicles_spec_2025_csv[[#This Row],[fast_charging_power_kw_dc]]&lt;150,"100–149 kW","150+ kW")))</f>
        <v>150+ kW</v>
      </c>
      <c r="R53" s="16" t="s">
        <v>25</v>
      </c>
      <c r="S53" s="16">
        <v>2500</v>
      </c>
      <c r="T53" s="16" t="s">
        <v>161</v>
      </c>
      <c r="U53" s="16">
        <v>5</v>
      </c>
      <c r="V53" s="16" t="s">
        <v>70</v>
      </c>
      <c r="W53" s="16" t="s">
        <v>64</v>
      </c>
      <c r="X53" s="16">
        <v>4965</v>
      </c>
      <c r="Y53" s="16">
        <v>1970</v>
      </c>
      <c r="Z53" s="16">
        <v>1695</v>
      </c>
      <c r="AA53" s="16" t="s">
        <v>36</v>
      </c>
      <c r="AB53" s="16" t="s">
        <v>168</v>
      </c>
    </row>
    <row r="54" spans="1:28" x14ac:dyDescent="0.3">
      <c r="A54" s="16" t="s">
        <v>134</v>
      </c>
      <c r="B54" s="16" t="s">
        <v>169</v>
      </c>
      <c r="C54" s="16">
        <v>200</v>
      </c>
      <c r="D5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54" s="16">
        <v>94.8</v>
      </c>
      <c r="F54" s="16" t="str">
        <f>IF(electric_vehicles_spec_2025_csv[[#This Row],[battery_capacity_kWh]]&lt;=30, "0–30 kWh", IF(electric_vehicles_spec_2025_csv[[#This Row],[battery_capacity_kWh]]&lt;=60, "31–60 kWh", "61+ kWh"))</f>
        <v>61+ kWh</v>
      </c>
      <c r="G54" s="16" t="s">
        <v>24</v>
      </c>
      <c r="H54" s="16"/>
      <c r="I54" s="16">
        <v>700</v>
      </c>
      <c r="J54" s="16">
        <v>193</v>
      </c>
      <c r="K54" s="16" t="str">
        <f t="shared" si="0"/>
        <v>161+ Wh/km</v>
      </c>
      <c r="L54" s="16">
        <v>470</v>
      </c>
      <c r="M54" s="16" t="str">
        <f>IF(electric_vehicles_spec_2025_csv[[#This Row],[range_km]]&lt;=200, "0–200 km",IF(electric_vehicles_spec_2025_csv[[#This Row],[range_km]]&lt;=400, "201–400 km", "401+ km"))</f>
        <v>401+ km</v>
      </c>
      <c r="N54" s="16">
        <v>5.0999999999999996</v>
      </c>
      <c r="O54" s="16" t="str">
        <f>IF(electric_vehicles_spec_2025_csv[[#This Row],[acceleration_0_100_s]]&lt;4,"0–3.9 s",IF(electric_vehicles_spec_2025_csv[[#This Row],[acceleration_0_100_s]]&lt;6,"4.0–5.9 s",IF(electric_vehicles_spec_2025_csv[[#This Row],[acceleration_0_100_s]]&lt;8,"6.0–7.9 s","8.0+ s")))</f>
        <v>4.0–5.9 s</v>
      </c>
      <c r="P54" s="16">
        <v>115</v>
      </c>
      <c r="Q54" s="16" t="str">
        <f>IF(electric_vehicles_spec_2025_csv[[#This Row],[fast_charging_power_kw_dc]]&lt;50,"0–49 kW",IF(electric_vehicles_spec_2025_csv[[#This Row],[fast_charging_power_kw_dc]]&lt;100,"50–99 kW",IF(electric_vehicles_spec_2025_csv[[#This Row],[fast_charging_power_kw_dc]]&lt;150,"100–149 kW","150+ kW")))</f>
        <v>100–149 kW</v>
      </c>
      <c r="R54" s="16" t="s">
        <v>25</v>
      </c>
      <c r="S54" s="16">
        <v>2500</v>
      </c>
      <c r="T54" s="16" t="s">
        <v>161</v>
      </c>
      <c r="U54" s="16">
        <v>5</v>
      </c>
      <c r="V54" s="16" t="s">
        <v>70</v>
      </c>
      <c r="W54" s="16" t="s">
        <v>64</v>
      </c>
      <c r="X54" s="16">
        <v>4965</v>
      </c>
      <c r="Y54" s="16">
        <v>1970</v>
      </c>
      <c r="Z54" s="16">
        <v>1695</v>
      </c>
      <c r="AA54" s="16" t="s">
        <v>36</v>
      </c>
      <c r="AB54" s="16" t="s">
        <v>170</v>
      </c>
    </row>
    <row r="55" spans="1:28" x14ac:dyDescent="0.3">
      <c r="A55" s="16" t="s">
        <v>134</v>
      </c>
      <c r="B55" s="16" t="s">
        <v>171</v>
      </c>
      <c r="C55" s="16">
        <v>200</v>
      </c>
      <c r="D5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55" s="16">
        <v>109.1</v>
      </c>
      <c r="F55" s="16" t="str">
        <f>IF(electric_vehicles_spec_2025_csv[[#This Row],[battery_capacity_kWh]]&lt;=30, "0–30 kWh", IF(electric_vehicles_spec_2025_csv[[#This Row],[battery_capacity_kWh]]&lt;=60, "31–60 kWh", "61+ kWh"))</f>
        <v>61+ kWh</v>
      </c>
      <c r="G55" s="16" t="s">
        <v>24</v>
      </c>
      <c r="H55" s="16"/>
      <c r="I55" s="16">
        <v>765</v>
      </c>
      <c r="J55" s="16">
        <v>194</v>
      </c>
      <c r="K55" s="16" t="str">
        <f t="shared" si="0"/>
        <v>161+ Wh/km</v>
      </c>
      <c r="L55" s="16">
        <v>525</v>
      </c>
      <c r="M55" s="16" t="str">
        <f>IF(electric_vehicles_spec_2025_csv[[#This Row],[range_km]]&lt;=200, "0–200 km",IF(electric_vehicles_spec_2025_csv[[#This Row],[range_km]]&lt;=400, "201–400 km", "401+ km"))</f>
        <v>401+ km</v>
      </c>
      <c r="N55" s="16">
        <v>4.5999999999999996</v>
      </c>
      <c r="O55" s="16" t="str">
        <f>IF(electric_vehicles_spec_2025_csv[[#This Row],[acceleration_0_100_s]]&lt;4,"0–3.9 s",IF(electric_vehicles_spec_2025_csv[[#This Row],[acceleration_0_100_s]]&lt;6,"4.0–5.9 s",IF(electric_vehicles_spec_2025_csv[[#This Row],[acceleration_0_100_s]]&lt;8,"6.0–7.9 s","8.0+ s")))</f>
        <v>4.0–5.9 s</v>
      </c>
      <c r="P55" s="16">
        <v>150</v>
      </c>
      <c r="Q55" s="16" t="str">
        <f>IF(electric_vehicles_spec_2025_csv[[#This Row],[fast_charging_power_kw_dc]]&lt;50,"0–49 kW",IF(electric_vehicles_spec_2025_csv[[#This Row],[fast_charging_power_kw_dc]]&lt;100,"50–99 kW",IF(electric_vehicles_spec_2025_csv[[#This Row],[fast_charging_power_kw_dc]]&lt;150,"100–149 kW","150+ kW")))</f>
        <v>150+ kW</v>
      </c>
      <c r="R55" s="16" t="s">
        <v>25</v>
      </c>
      <c r="S55" s="16">
        <v>2500</v>
      </c>
      <c r="T55" s="16" t="s">
        <v>161</v>
      </c>
      <c r="U55" s="16">
        <v>5</v>
      </c>
      <c r="V55" s="16" t="s">
        <v>70</v>
      </c>
      <c r="W55" s="16" t="s">
        <v>64</v>
      </c>
      <c r="X55" s="16">
        <v>4965</v>
      </c>
      <c r="Y55" s="16">
        <v>1970</v>
      </c>
      <c r="Z55" s="16">
        <v>1695</v>
      </c>
      <c r="AA55" s="16" t="s">
        <v>36</v>
      </c>
      <c r="AB55" s="16" t="s">
        <v>172</v>
      </c>
    </row>
    <row r="56" spans="1:28" x14ac:dyDescent="0.3">
      <c r="A56" s="16" t="s">
        <v>134</v>
      </c>
      <c r="B56" s="16" t="s">
        <v>173</v>
      </c>
      <c r="C56" s="16">
        <v>170</v>
      </c>
      <c r="D5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56" s="16">
        <v>64.7</v>
      </c>
      <c r="F56" s="16" t="str">
        <f>IF(electric_vehicles_spec_2025_csv[[#This Row],[battery_capacity_kWh]]&lt;=30, "0–30 kWh", IF(electric_vehicles_spec_2025_csv[[#This Row],[battery_capacity_kWh]]&lt;=60, "31–60 kWh", "61+ kWh"))</f>
        <v>61+ kWh</v>
      </c>
      <c r="G56" s="16" t="s">
        <v>24</v>
      </c>
      <c r="H56" s="16"/>
      <c r="I56" s="16">
        <v>247</v>
      </c>
      <c r="J56" s="16">
        <v>150</v>
      </c>
      <c r="K56" s="16" t="str">
        <f t="shared" si="0"/>
        <v>131–160 Wh/km</v>
      </c>
      <c r="L56" s="16">
        <v>390</v>
      </c>
      <c r="M56" s="16" t="str">
        <f>IF(electric_vehicles_spec_2025_csv[[#This Row],[range_km]]&lt;=200, "0–200 km",IF(electric_vehicles_spec_2025_csv[[#This Row],[range_km]]&lt;=400, "201–400 km", "401+ km"))</f>
        <v>201–400 km</v>
      </c>
      <c r="N56" s="16">
        <v>8.3000000000000007</v>
      </c>
      <c r="O56" s="16" t="str">
        <f>IF(electric_vehicles_spec_2025_csv[[#This Row],[acceleration_0_100_s]]&lt;4,"0–3.9 s",IF(electric_vehicles_spec_2025_csv[[#This Row],[acceleration_0_100_s]]&lt;6,"4.0–5.9 s",IF(electric_vehicles_spec_2025_csv[[#This Row],[acceleration_0_100_s]]&lt;8,"6.0–7.9 s","8.0+ s")))</f>
        <v>8.0+ s</v>
      </c>
      <c r="P56" s="16">
        <v>94</v>
      </c>
      <c r="Q56" s="16" t="str">
        <f>IF(electric_vehicles_spec_2025_csv[[#This Row],[fast_charging_power_kw_dc]]&lt;50,"0–49 kW",IF(electric_vehicles_spec_2025_csv[[#This Row],[fast_charging_power_kw_dc]]&lt;100,"50–99 kW",IF(electric_vehicles_spec_2025_csv[[#This Row],[fast_charging_power_kw_dc]]&lt;150,"100–149 kW","150+ kW")))</f>
        <v>50–99 kW</v>
      </c>
      <c r="R56" s="16" t="s">
        <v>25</v>
      </c>
      <c r="S56" s="16">
        <v>750</v>
      </c>
      <c r="T56" s="16" t="s">
        <v>146</v>
      </c>
      <c r="U56" s="16">
        <v>5</v>
      </c>
      <c r="V56" s="16" t="s">
        <v>27</v>
      </c>
      <c r="W56" s="16" t="s">
        <v>43</v>
      </c>
      <c r="X56" s="16">
        <v>4500</v>
      </c>
      <c r="Y56" s="16">
        <v>1845</v>
      </c>
      <c r="Z56" s="16">
        <v>1616</v>
      </c>
      <c r="AA56" s="16" t="s">
        <v>36</v>
      </c>
      <c r="AB56" s="16" t="s">
        <v>174</v>
      </c>
    </row>
    <row r="57" spans="1:28" x14ac:dyDescent="0.3">
      <c r="A57" s="16" t="s">
        <v>134</v>
      </c>
      <c r="B57" s="16" t="s">
        <v>175</v>
      </c>
      <c r="C57" s="16">
        <v>180</v>
      </c>
      <c r="D5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57" s="16">
        <v>64.7</v>
      </c>
      <c r="F57" s="16" t="str">
        <f>IF(electric_vehicles_spec_2025_csv[[#This Row],[battery_capacity_kWh]]&lt;=30, "0–30 kWh", IF(electric_vehicles_spec_2025_csv[[#This Row],[battery_capacity_kWh]]&lt;=60, "31–60 kWh", "61+ kWh"))</f>
        <v>61+ kWh</v>
      </c>
      <c r="G57" s="16" t="s">
        <v>24</v>
      </c>
      <c r="H57" s="16"/>
      <c r="I57" s="16">
        <v>494</v>
      </c>
      <c r="J57" s="16">
        <v>155</v>
      </c>
      <c r="K57" s="16" t="str">
        <f t="shared" si="0"/>
        <v>131–160 Wh/km</v>
      </c>
      <c r="L57" s="16">
        <v>380</v>
      </c>
      <c r="M57" s="16" t="str">
        <f>IF(electric_vehicles_spec_2025_csv[[#This Row],[range_km]]&lt;=200, "0–200 km",IF(electric_vehicles_spec_2025_csv[[#This Row],[range_km]]&lt;=400, "201–400 km", "401+ km"))</f>
        <v>201–400 km</v>
      </c>
      <c r="N57" s="16">
        <v>5.6</v>
      </c>
      <c r="O57" s="16" t="str">
        <f>IF(electric_vehicles_spec_2025_csv[[#This Row],[acceleration_0_100_s]]&lt;4,"0–3.9 s",IF(electric_vehicles_spec_2025_csv[[#This Row],[acceleration_0_100_s]]&lt;6,"4.0–5.9 s",IF(electric_vehicles_spec_2025_csv[[#This Row],[acceleration_0_100_s]]&lt;8,"6.0–7.9 s","8.0+ s")))</f>
        <v>4.0–5.9 s</v>
      </c>
      <c r="P57" s="16">
        <v>94</v>
      </c>
      <c r="Q57" s="16" t="str">
        <f>IF(electric_vehicles_spec_2025_csv[[#This Row],[fast_charging_power_kw_dc]]&lt;50,"0–49 kW",IF(electric_vehicles_spec_2025_csv[[#This Row],[fast_charging_power_kw_dc]]&lt;100,"50–99 kW",IF(electric_vehicles_spec_2025_csv[[#This Row],[fast_charging_power_kw_dc]]&lt;150,"100–149 kW","150+ kW")))</f>
        <v>50–99 kW</v>
      </c>
      <c r="R57" s="16" t="s">
        <v>25</v>
      </c>
      <c r="S57" s="16">
        <v>1200</v>
      </c>
      <c r="T57" s="16" t="s">
        <v>146</v>
      </c>
      <c r="U57" s="16">
        <v>5</v>
      </c>
      <c r="V57" s="16" t="s">
        <v>70</v>
      </c>
      <c r="W57" s="16" t="s">
        <v>43</v>
      </c>
      <c r="X57" s="16">
        <v>4500</v>
      </c>
      <c r="Y57" s="16">
        <v>1845</v>
      </c>
      <c r="Z57" s="16">
        <v>1616</v>
      </c>
      <c r="AA57" s="16" t="s">
        <v>36</v>
      </c>
      <c r="AB57" s="16" t="s">
        <v>176</v>
      </c>
    </row>
    <row r="58" spans="1:28" x14ac:dyDescent="0.3">
      <c r="A58" s="16" t="s">
        <v>134</v>
      </c>
      <c r="B58" s="16" t="s">
        <v>177</v>
      </c>
      <c r="C58" s="16">
        <v>170</v>
      </c>
      <c r="D5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58" s="16">
        <v>64.7</v>
      </c>
      <c r="F58" s="16" t="str">
        <f>IF(electric_vehicles_spec_2025_csv[[#This Row],[battery_capacity_kWh]]&lt;=30, "0–30 kWh", IF(electric_vehicles_spec_2025_csv[[#This Row],[battery_capacity_kWh]]&lt;=60, "31–60 kWh", "61+ kWh"))</f>
        <v>61+ kWh</v>
      </c>
      <c r="G58" s="16" t="s">
        <v>24</v>
      </c>
      <c r="H58" s="16"/>
      <c r="I58" s="16">
        <v>247</v>
      </c>
      <c r="J58" s="16">
        <v>147</v>
      </c>
      <c r="K58" s="16" t="str">
        <f t="shared" si="0"/>
        <v>131–160 Wh/km</v>
      </c>
      <c r="L58" s="16">
        <v>395</v>
      </c>
      <c r="M58" s="16" t="str">
        <f>IF(electric_vehicles_spec_2025_csv[[#This Row],[range_km]]&lt;=200, "0–200 km",IF(electric_vehicles_spec_2025_csv[[#This Row],[range_km]]&lt;=400, "201–400 km", "401+ km"))</f>
        <v>201–400 km</v>
      </c>
      <c r="N58" s="16">
        <v>8.6</v>
      </c>
      <c r="O58" s="16" t="str">
        <f>IF(electric_vehicles_spec_2025_csv[[#This Row],[acceleration_0_100_s]]&lt;4,"0–3.9 s",IF(electric_vehicles_spec_2025_csv[[#This Row],[acceleration_0_100_s]]&lt;6,"4.0–5.9 s",IF(electric_vehicles_spec_2025_csv[[#This Row],[acceleration_0_100_s]]&lt;8,"6.0–7.9 s","8.0+ s")))</f>
        <v>8.0+ s</v>
      </c>
      <c r="P58" s="16">
        <v>94</v>
      </c>
      <c r="Q58" s="16" t="str">
        <f>IF(electric_vehicles_spec_2025_csv[[#This Row],[fast_charging_power_kw_dc]]&lt;50,"0–49 kW",IF(electric_vehicles_spec_2025_csv[[#This Row],[fast_charging_power_kw_dc]]&lt;100,"50–99 kW",IF(electric_vehicles_spec_2025_csv[[#This Row],[fast_charging_power_kw_dc]]&lt;150,"100–149 kW","150+ kW")))</f>
        <v>50–99 kW</v>
      </c>
      <c r="R58" s="16" t="s">
        <v>25</v>
      </c>
      <c r="S58" s="16">
        <v>750</v>
      </c>
      <c r="T58" s="16" t="s">
        <v>178</v>
      </c>
      <c r="U58" s="16">
        <v>5</v>
      </c>
      <c r="V58" s="16" t="s">
        <v>27</v>
      </c>
      <c r="W58" s="16" t="s">
        <v>43</v>
      </c>
      <c r="X58" s="16">
        <v>4554</v>
      </c>
      <c r="Y58" s="16">
        <v>1845</v>
      </c>
      <c r="Z58" s="16">
        <v>1560</v>
      </c>
      <c r="AA58" s="16" t="s">
        <v>36</v>
      </c>
      <c r="AB58" s="16" t="s">
        <v>179</v>
      </c>
    </row>
    <row r="59" spans="1:28" x14ac:dyDescent="0.3">
      <c r="A59" s="16" t="s">
        <v>134</v>
      </c>
      <c r="B59" s="16" t="s">
        <v>180</v>
      </c>
      <c r="C59" s="16">
        <v>180</v>
      </c>
      <c r="D5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59" s="16">
        <v>64.7</v>
      </c>
      <c r="F59" s="16" t="str">
        <f>IF(electric_vehicles_spec_2025_csv[[#This Row],[battery_capacity_kWh]]&lt;=30, "0–30 kWh", IF(electric_vehicles_spec_2025_csv[[#This Row],[battery_capacity_kWh]]&lt;=60, "31–60 kWh", "61+ kWh"))</f>
        <v>61+ kWh</v>
      </c>
      <c r="G59" s="16" t="s">
        <v>24</v>
      </c>
      <c r="H59" s="16"/>
      <c r="I59" s="16">
        <v>494</v>
      </c>
      <c r="J59" s="16">
        <v>155</v>
      </c>
      <c r="K59" s="16" t="str">
        <f t="shared" si="0"/>
        <v>131–160 Wh/km</v>
      </c>
      <c r="L59" s="16">
        <v>385</v>
      </c>
      <c r="M59" s="16" t="str">
        <f>IF(electric_vehicles_spec_2025_csv[[#This Row],[range_km]]&lt;=200, "0–200 km",IF(electric_vehicles_spec_2025_csv[[#This Row],[range_km]]&lt;=400, "201–400 km", "401+ km"))</f>
        <v>201–400 km</v>
      </c>
      <c r="N59" s="16">
        <v>5.6</v>
      </c>
      <c r="O59" s="16" t="str">
        <f>IF(electric_vehicles_spec_2025_csv[[#This Row],[acceleration_0_100_s]]&lt;4,"0–3.9 s",IF(electric_vehicles_spec_2025_csv[[#This Row],[acceleration_0_100_s]]&lt;6,"4.0–5.9 s",IF(electric_vehicles_spec_2025_csv[[#This Row],[acceleration_0_100_s]]&lt;8,"6.0–7.9 s","8.0+ s")))</f>
        <v>4.0–5.9 s</v>
      </c>
      <c r="P59" s="16">
        <v>94</v>
      </c>
      <c r="Q59" s="16" t="str">
        <f>IF(electric_vehicles_spec_2025_csv[[#This Row],[fast_charging_power_kw_dc]]&lt;50,"0–49 kW",IF(electric_vehicles_spec_2025_csv[[#This Row],[fast_charging_power_kw_dc]]&lt;100,"50–99 kW",IF(electric_vehicles_spec_2025_csv[[#This Row],[fast_charging_power_kw_dc]]&lt;150,"100–149 kW","150+ kW")))</f>
        <v>50–99 kW</v>
      </c>
      <c r="R59" s="16" t="s">
        <v>25</v>
      </c>
      <c r="S59" s="16">
        <v>1200</v>
      </c>
      <c r="T59" s="16" t="s">
        <v>178</v>
      </c>
      <c r="U59" s="16">
        <v>5</v>
      </c>
      <c r="V59" s="16" t="s">
        <v>70</v>
      </c>
      <c r="W59" s="16" t="s">
        <v>43</v>
      </c>
      <c r="X59" s="16">
        <v>4554</v>
      </c>
      <c r="Y59" s="16">
        <v>1845</v>
      </c>
      <c r="Z59" s="16">
        <v>1560</v>
      </c>
      <c r="AA59" s="16" t="s">
        <v>36</v>
      </c>
      <c r="AB59" s="16" t="s">
        <v>181</v>
      </c>
    </row>
    <row r="60" spans="1:28" x14ac:dyDescent="0.3">
      <c r="A60" s="16" t="s">
        <v>182</v>
      </c>
      <c r="B60" s="16" t="s">
        <v>183</v>
      </c>
      <c r="C60" s="16">
        <v>160</v>
      </c>
      <c r="D6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0" s="16">
        <v>45.1</v>
      </c>
      <c r="F60" s="16" t="str">
        <f>IF(electric_vehicles_spec_2025_csv[[#This Row],[battery_capacity_kWh]]&lt;=30, "0–30 kWh", IF(electric_vehicles_spec_2025_csv[[#This Row],[battery_capacity_kWh]]&lt;=60, "31–60 kWh", "61+ kWh"))</f>
        <v>31–60 kWh</v>
      </c>
      <c r="G60" s="16" t="s">
        <v>24</v>
      </c>
      <c r="H60" s="16"/>
      <c r="I60" s="16">
        <v>290</v>
      </c>
      <c r="J60" s="16">
        <v>145</v>
      </c>
      <c r="K60" s="16" t="str">
        <f t="shared" si="0"/>
        <v>131–160 Wh/km</v>
      </c>
      <c r="L60" s="16">
        <v>245</v>
      </c>
      <c r="M60" s="16" t="str">
        <f>IF(electric_vehicles_spec_2025_csv[[#This Row],[range_km]]&lt;=200, "0–200 km",IF(electric_vehicles_spec_2025_csv[[#This Row],[range_km]]&lt;=400, "201–400 km", "401+ km"))</f>
        <v>201–400 km</v>
      </c>
      <c r="N60" s="16">
        <v>7.9</v>
      </c>
      <c r="O60" s="16" t="str">
        <f>IF(electric_vehicles_spec_2025_csv[[#This Row],[acceleration_0_100_s]]&lt;4,"0–3.9 s",IF(electric_vehicles_spec_2025_csv[[#This Row],[acceleration_0_100_s]]&lt;6,"4.0–5.9 s",IF(electric_vehicles_spec_2025_csv[[#This Row],[acceleration_0_100_s]]&lt;8,"6.0–7.9 s","8.0+ s")))</f>
        <v>6.0–7.9 s</v>
      </c>
      <c r="P60" s="16">
        <v>51</v>
      </c>
      <c r="Q60" s="16" t="str">
        <f>IF(electric_vehicles_spec_2025_csv[[#This Row],[fast_charging_power_kw_dc]]&lt;50,"0–49 kW",IF(electric_vehicles_spec_2025_csv[[#This Row],[fast_charging_power_kw_dc]]&lt;100,"50–99 kW",IF(electric_vehicles_spec_2025_csv[[#This Row],[fast_charging_power_kw_dc]]&lt;150,"100–149 kW","150+ kW")))</f>
        <v>50–99 kW</v>
      </c>
      <c r="R60" s="16" t="s">
        <v>25</v>
      </c>
      <c r="S60" s="16">
        <v>750</v>
      </c>
      <c r="T60" s="16" t="s">
        <v>50</v>
      </c>
      <c r="U60" s="16">
        <v>5</v>
      </c>
      <c r="V60" s="16" t="s">
        <v>27</v>
      </c>
      <c r="W60" s="16" t="s">
        <v>35</v>
      </c>
      <c r="X60" s="16">
        <v>4310</v>
      </c>
      <c r="Y60" s="16">
        <v>1830</v>
      </c>
      <c r="Z60" s="16">
        <v>1675</v>
      </c>
      <c r="AA60" s="16" t="s">
        <v>36</v>
      </c>
      <c r="AB60" s="16" t="s">
        <v>184</v>
      </c>
    </row>
    <row r="61" spans="1:28" x14ac:dyDescent="0.3">
      <c r="A61" s="16" t="s">
        <v>182</v>
      </c>
      <c r="B61" s="16" t="s">
        <v>185</v>
      </c>
      <c r="C61" s="16">
        <v>160</v>
      </c>
      <c r="D6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1" s="16">
        <v>60.5</v>
      </c>
      <c r="F61" s="16" t="str">
        <f>IF(electric_vehicles_spec_2025_csv[[#This Row],[battery_capacity_kWh]]&lt;=30, "0–30 kWh", IF(electric_vehicles_spec_2025_csv[[#This Row],[battery_capacity_kWh]]&lt;=60, "31–60 kWh", "61+ kWh"))</f>
        <v>61+ kWh</v>
      </c>
      <c r="G61" s="16" t="s">
        <v>24</v>
      </c>
      <c r="H61" s="16">
        <v>126</v>
      </c>
      <c r="I61" s="16">
        <v>310</v>
      </c>
      <c r="J61" s="16">
        <v>144</v>
      </c>
      <c r="K61" s="16" t="str">
        <f t="shared" si="0"/>
        <v>131–160 Wh/km</v>
      </c>
      <c r="L61" s="16">
        <v>340</v>
      </c>
      <c r="M61" s="16" t="str">
        <f>IF(electric_vehicles_spec_2025_csv[[#This Row],[range_km]]&lt;=200, "0–200 km",IF(electric_vehicles_spec_2025_csv[[#This Row],[range_km]]&lt;=400, "201–400 km", "401+ km"))</f>
        <v>201–400 km</v>
      </c>
      <c r="N61" s="16">
        <v>7.3</v>
      </c>
      <c r="O61" s="16" t="str">
        <f>IF(electric_vehicles_spec_2025_csv[[#This Row],[acceleration_0_100_s]]&lt;4,"0–3.9 s",IF(electric_vehicles_spec_2025_csv[[#This Row],[acceleration_0_100_s]]&lt;6,"4.0–5.9 s",IF(electric_vehicles_spec_2025_csv[[#This Row],[acceleration_0_100_s]]&lt;8,"6.0–7.9 s","8.0+ s")))</f>
        <v>6.0–7.9 s</v>
      </c>
      <c r="P61" s="16">
        <v>75</v>
      </c>
      <c r="Q61" s="16" t="str">
        <f>IF(electric_vehicles_spec_2025_csv[[#This Row],[fast_charging_power_kw_dc]]&lt;50,"0–49 kW",IF(electric_vehicles_spec_2025_csv[[#This Row],[fast_charging_power_kw_dc]]&lt;100,"50–99 kW",IF(electric_vehicles_spec_2025_csv[[#This Row],[fast_charging_power_kw_dc]]&lt;150,"100–149 kW","150+ kW")))</f>
        <v>50–99 kW</v>
      </c>
      <c r="R61" s="16" t="s">
        <v>25</v>
      </c>
      <c r="S61" s="16">
        <v>750</v>
      </c>
      <c r="T61" s="16" t="s">
        <v>186</v>
      </c>
      <c r="U61" s="16">
        <v>5</v>
      </c>
      <c r="V61" s="16" t="s">
        <v>27</v>
      </c>
      <c r="W61" s="16" t="s">
        <v>43</v>
      </c>
      <c r="X61" s="16">
        <v>4455</v>
      </c>
      <c r="Y61" s="16">
        <v>1875</v>
      </c>
      <c r="Z61" s="16">
        <v>1615</v>
      </c>
      <c r="AA61" s="16" t="s">
        <v>36</v>
      </c>
      <c r="AB61" s="16" t="s">
        <v>187</v>
      </c>
    </row>
    <row r="62" spans="1:28" x14ac:dyDescent="0.3">
      <c r="A62" s="16" t="s">
        <v>182</v>
      </c>
      <c r="B62" s="16" t="s">
        <v>188</v>
      </c>
      <c r="C62" s="16">
        <v>150</v>
      </c>
      <c r="D6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2" s="16">
        <v>44.9</v>
      </c>
      <c r="F62" s="16" t="str">
        <f>IF(electric_vehicles_spec_2025_csv[[#This Row],[battery_capacity_kWh]]&lt;=30, "0–30 kWh", IF(electric_vehicles_spec_2025_csv[[#This Row],[battery_capacity_kWh]]&lt;=60, "31–60 kWh", "61+ kWh"))</f>
        <v>31–60 kWh</v>
      </c>
      <c r="G62" s="16" t="s">
        <v>24</v>
      </c>
      <c r="H62" s="16">
        <v>104</v>
      </c>
      <c r="I62" s="16">
        <v>180</v>
      </c>
      <c r="J62" s="16">
        <v>132</v>
      </c>
      <c r="K62" s="16" t="str">
        <f t="shared" si="0"/>
        <v>131–160 Wh/km</v>
      </c>
      <c r="L62" s="16">
        <v>265</v>
      </c>
      <c r="M62" s="16" t="str">
        <f>IF(electric_vehicles_spec_2025_csv[[#This Row],[range_km]]&lt;=200, "0–200 km",IF(electric_vehicles_spec_2025_csv[[#This Row],[range_km]]&lt;=400, "201–400 km", "401+ km"))</f>
        <v>201–400 km</v>
      </c>
      <c r="N62" s="16">
        <v>12.3</v>
      </c>
      <c r="O62" s="16" t="str">
        <f>IF(electric_vehicles_spec_2025_csv[[#This Row],[acceleration_0_100_s]]&lt;4,"0–3.9 s",IF(electric_vehicles_spec_2025_csv[[#This Row],[acceleration_0_100_s]]&lt;6,"4.0–5.9 s",IF(electric_vehicles_spec_2025_csv[[#This Row],[acceleration_0_100_s]]&lt;8,"6.0–7.9 s","8.0+ s")))</f>
        <v>8.0+ s</v>
      </c>
      <c r="P62" s="16">
        <v>50</v>
      </c>
      <c r="Q62" s="16" t="str">
        <f>IF(electric_vehicles_spec_2025_csv[[#This Row],[fast_charging_power_kw_dc]]&lt;50,"0–49 kW",IF(electric_vehicles_spec_2025_csv[[#This Row],[fast_charging_power_kw_dc]]&lt;100,"50–99 kW",IF(electric_vehicles_spec_2025_csv[[#This Row],[fast_charging_power_kw_dc]]&lt;150,"100–149 kW","150+ kW")))</f>
        <v>50–99 kW</v>
      </c>
      <c r="R62" s="16" t="s">
        <v>25</v>
      </c>
      <c r="S62" s="16">
        <v>0</v>
      </c>
      <c r="T62" s="16" t="s">
        <v>189</v>
      </c>
      <c r="U62" s="16">
        <v>5</v>
      </c>
      <c r="V62" s="16" t="s">
        <v>27</v>
      </c>
      <c r="W62" s="16" t="s">
        <v>190</v>
      </c>
      <c r="X62" s="16">
        <v>4290</v>
      </c>
      <c r="Y62" s="16">
        <v>1770</v>
      </c>
      <c r="Z62" s="16">
        <v>1570</v>
      </c>
      <c r="AA62" s="16" t="s">
        <v>29</v>
      </c>
      <c r="AB62" s="16" t="s">
        <v>191</v>
      </c>
    </row>
    <row r="63" spans="1:28" x14ac:dyDescent="0.3">
      <c r="A63" s="16" t="s">
        <v>182</v>
      </c>
      <c r="B63" s="16" t="s">
        <v>192</v>
      </c>
      <c r="C63" s="16">
        <v>160</v>
      </c>
      <c r="D6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3" s="16">
        <v>44.9</v>
      </c>
      <c r="F63" s="16" t="str">
        <f>IF(electric_vehicles_spec_2025_csv[[#This Row],[battery_capacity_kWh]]&lt;=30, "0–30 kWh", IF(electric_vehicles_spec_2025_csv[[#This Row],[battery_capacity_kWh]]&lt;=60, "31–60 kWh", "61+ kWh"))</f>
        <v>31–60 kWh</v>
      </c>
      <c r="G63" s="16" t="s">
        <v>24</v>
      </c>
      <c r="H63" s="16">
        <v>104</v>
      </c>
      <c r="I63" s="16"/>
      <c r="J63" s="16">
        <v>145</v>
      </c>
      <c r="K63" s="16" t="str">
        <f t="shared" si="0"/>
        <v>131–160 Wh/km</v>
      </c>
      <c r="L63" s="16">
        <v>260</v>
      </c>
      <c r="M63" s="16" t="str">
        <f>IF(electric_vehicles_spec_2025_csv[[#This Row],[range_km]]&lt;=200, "0–200 km",IF(electric_vehicles_spec_2025_csv[[#This Row],[range_km]]&lt;=400, "201–400 km", "401+ km"))</f>
        <v>201–400 km</v>
      </c>
      <c r="N63" s="16">
        <v>8</v>
      </c>
      <c r="O63" s="16" t="str">
        <f>IF(electric_vehicles_spec_2025_csv[[#This Row],[acceleration_0_100_s]]&lt;4,"0–3.9 s",IF(electric_vehicles_spec_2025_csv[[#This Row],[acceleration_0_100_s]]&lt;6,"4.0–5.9 s",IF(electric_vehicles_spec_2025_csv[[#This Row],[acceleration_0_100_s]]&lt;8,"6.0–7.9 s","8.0+ s")))</f>
        <v>8.0+ s</v>
      </c>
      <c r="P63" s="16">
        <v>50</v>
      </c>
      <c r="Q63" s="16" t="str">
        <f>IF(electric_vehicles_spec_2025_csv[[#This Row],[fast_charging_power_kw_dc]]&lt;50,"0–49 kW",IF(electric_vehicles_spec_2025_csv[[#This Row],[fast_charging_power_kw_dc]]&lt;100,"50–99 kW",IF(electric_vehicles_spec_2025_csv[[#This Row],[fast_charging_power_kw_dc]]&lt;150,"100–149 kW","150+ kW")))</f>
        <v>50–99 kW</v>
      </c>
      <c r="R63" s="16" t="s">
        <v>25</v>
      </c>
      <c r="S63" s="16">
        <v>0</v>
      </c>
      <c r="T63" s="16" t="s">
        <v>189</v>
      </c>
      <c r="U63" s="16">
        <v>5</v>
      </c>
      <c r="V63" s="16" t="s">
        <v>27</v>
      </c>
      <c r="W63" s="16" t="s">
        <v>190</v>
      </c>
      <c r="X63" s="16">
        <v>4290</v>
      </c>
      <c r="Y63" s="16">
        <v>1770</v>
      </c>
      <c r="Z63" s="16">
        <v>1570</v>
      </c>
      <c r="AA63" s="16" t="s">
        <v>29</v>
      </c>
      <c r="AB63" s="16" t="s">
        <v>193</v>
      </c>
    </row>
    <row r="64" spans="1:28" x14ac:dyDescent="0.3">
      <c r="A64" s="16" t="s">
        <v>182</v>
      </c>
      <c r="B64" s="16" t="s">
        <v>194</v>
      </c>
      <c r="C64" s="16">
        <v>160</v>
      </c>
      <c r="D6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4" s="16">
        <v>60.5</v>
      </c>
      <c r="F64" s="16" t="str">
        <f>IF(electric_vehicles_spec_2025_csv[[#This Row],[battery_capacity_kWh]]&lt;=30, "0–30 kWh", IF(electric_vehicles_spec_2025_csv[[#This Row],[battery_capacity_kWh]]&lt;=60, "31–60 kWh", "61+ kWh"))</f>
        <v>61+ kWh</v>
      </c>
      <c r="G64" s="16" t="s">
        <v>24</v>
      </c>
      <c r="H64" s="16">
        <v>126</v>
      </c>
      <c r="I64" s="16">
        <v>310</v>
      </c>
      <c r="J64" s="16">
        <v>142</v>
      </c>
      <c r="K64" s="16" t="str">
        <f t="shared" si="0"/>
        <v>131–160 Wh/km</v>
      </c>
      <c r="L64" s="16">
        <v>350</v>
      </c>
      <c r="M64" s="16" t="str">
        <f>IF(electric_vehicles_spec_2025_csv[[#This Row],[range_km]]&lt;=200, "0–200 km",IF(electric_vehicles_spec_2025_csv[[#This Row],[range_km]]&lt;=400, "201–400 km", "401+ km"))</f>
        <v>201–400 km</v>
      </c>
      <c r="N64" s="16">
        <v>7</v>
      </c>
      <c r="O64" s="16" t="str">
        <f>IF(electric_vehicles_spec_2025_csv[[#This Row],[acceleration_0_100_s]]&lt;4,"0–3.9 s",IF(electric_vehicles_spec_2025_csv[[#This Row],[acceleration_0_100_s]]&lt;6,"4.0–5.9 s",IF(electric_vehicles_spec_2025_csv[[#This Row],[acceleration_0_100_s]]&lt;8,"6.0–7.9 s","8.0+ s")))</f>
        <v>6.0–7.9 s</v>
      </c>
      <c r="P64" s="16">
        <v>65</v>
      </c>
      <c r="Q64" s="16" t="str">
        <f>IF(electric_vehicles_spec_2025_csv[[#This Row],[fast_charging_power_kw_dc]]&lt;50,"0–49 kW",IF(electric_vehicles_spec_2025_csv[[#This Row],[fast_charging_power_kw_dc]]&lt;100,"50–99 kW",IF(electric_vehicles_spec_2025_csv[[#This Row],[fast_charging_power_kw_dc]]&lt;150,"100–149 kW","150+ kW")))</f>
        <v>50–99 kW</v>
      </c>
      <c r="R64" s="16" t="s">
        <v>25</v>
      </c>
      <c r="S64" s="16">
        <v>0</v>
      </c>
      <c r="T64" s="16" t="s">
        <v>189</v>
      </c>
      <c r="U64" s="16">
        <v>5</v>
      </c>
      <c r="V64" s="16" t="s">
        <v>27</v>
      </c>
      <c r="W64" s="16" t="s">
        <v>190</v>
      </c>
      <c r="X64" s="16">
        <v>4290</v>
      </c>
      <c r="Y64" s="16">
        <v>1770</v>
      </c>
      <c r="Z64" s="16">
        <v>1570</v>
      </c>
      <c r="AA64" s="16" t="s">
        <v>29</v>
      </c>
      <c r="AB64" s="16" t="s">
        <v>195</v>
      </c>
    </row>
    <row r="65" spans="1:28" x14ac:dyDescent="0.3">
      <c r="A65" s="16" t="s">
        <v>182</v>
      </c>
      <c r="B65" s="16" t="s">
        <v>196</v>
      </c>
      <c r="C65" s="16">
        <v>150</v>
      </c>
      <c r="D6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5" s="16">
        <v>30</v>
      </c>
      <c r="F65" s="16" t="str">
        <f>IF(electric_vehicles_spec_2025_csv[[#This Row],[battery_capacity_kWh]]&lt;=30, "0–30 kWh", IF(electric_vehicles_spec_2025_csv[[#This Row],[battery_capacity_kWh]]&lt;=60, "31–60 kWh", "61+ kWh"))</f>
        <v>0–30 kWh</v>
      </c>
      <c r="G65" s="16" t="s">
        <v>24</v>
      </c>
      <c r="H65" s="16">
        <v>94</v>
      </c>
      <c r="I65" s="16">
        <v>175</v>
      </c>
      <c r="J65" s="16">
        <v>136</v>
      </c>
      <c r="K65" s="16" t="str">
        <f t="shared" si="0"/>
        <v>131–160 Wh/km</v>
      </c>
      <c r="L65" s="16">
        <v>190</v>
      </c>
      <c r="M65" s="16" t="str">
        <f>IF(electric_vehicles_spec_2025_csv[[#This Row],[range_km]]&lt;=200, "0–200 km",IF(electric_vehicles_spec_2025_csv[[#This Row],[range_km]]&lt;=400, "201–400 km", "401+ km"))</f>
        <v>0–200 km</v>
      </c>
      <c r="N65" s="16">
        <v>11.1</v>
      </c>
      <c r="O65" s="16" t="str">
        <f>IF(electric_vehicles_spec_2025_csv[[#This Row],[acceleration_0_100_s]]&lt;4,"0–3.9 s",IF(electric_vehicles_spec_2025_csv[[#This Row],[acceleration_0_100_s]]&lt;6,"4.0–5.9 s",IF(electric_vehicles_spec_2025_csv[[#This Row],[acceleration_0_100_s]]&lt;8,"6.0–7.9 s","8.0+ s")))</f>
        <v>8.0+ s</v>
      </c>
      <c r="P65" s="16">
        <v>45</v>
      </c>
      <c r="Q65" s="16" t="str">
        <f>IF(electric_vehicles_spec_2025_csv[[#This Row],[fast_charging_power_kw_dc]]&lt;50,"0–49 kW",IF(electric_vehicles_spec_2025_csv[[#This Row],[fast_charging_power_kw_dc]]&lt;100,"50–99 kW",IF(electric_vehicles_spec_2025_csv[[#This Row],[fast_charging_power_kw_dc]]&lt;150,"100–149 kW","150+ kW")))</f>
        <v>0–49 kW</v>
      </c>
      <c r="R65" s="16" t="s">
        <v>25</v>
      </c>
      <c r="S65" s="16">
        <v>0</v>
      </c>
      <c r="T65" s="16" t="s">
        <v>197</v>
      </c>
      <c r="U65" s="16">
        <v>4</v>
      </c>
      <c r="V65" s="16" t="s">
        <v>27</v>
      </c>
      <c r="W65" s="16" t="s">
        <v>28</v>
      </c>
      <c r="X65" s="16">
        <v>3990</v>
      </c>
      <c r="Y65" s="16">
        <v>1720</v>
      </c>
      <c r="Z65" s="16">
        <v>1590</v>
      </c>
      <c r="AA65" s="16" t="s">
        <v>29</v>
      </c>
      <c r="AB65" s="16" t="s">
        <v>198</v>
      </c>
    </row>
    <row r="66" spans="1:28" x14ac:dyDescent="0.3">
      <c r="A66" s="16" t="s">
        <v>182</v>
      </c>
      <c r="B66" s="16" t="s">
        <v>199</v>
      </c>
      <c r="C66" s="16">
        <v>150</v>
      </c>
      <c r="D6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6" s="16">
        <v>43.2</v>
      </c>
      <c r="F66" s="16" t="str">
        <f>IF(electric_vehicles_spec_2025_csv[[#This Row],[battery_capacity_kWh]]&lt;=30, "0–30 kWh", IF(electric_vehicles_spec_2025_csv[[#This Row],[battery_capacity_kWh]]&lt;=60, "31–60 kWh", "61+ kWh"))</f>
        <v>31–60 kWh</v>
      </c>
      <c r="G66" s="16" t="s">
        <v>24</v>
      </c>
      <c r="H66" s="16">
        <v>90</v>
      </c>
      <c r="I66" s="16">
        <v>175</v>
      </c>
      <c r="J66" s="16">
        <v>134</v>
      </c>
      <c r="K66" s="16" t="str">
        <f t="shared" ref="K66:K129" si="1">IF(J66&lt;=130,"0–130 Wh/km",IF(J66&lt;=160,"131–160 Wh/km","161+ Wh/km"))</f>
        <v>131–160 Wh/km</v>
      </c>
      <c r="L66" s="16">
        <v>270</v>
      </c>
      <c r="M66" s="16" t="str">
        <f>IF(electric_vehicles_spec_2025_csv[[#This Row],[range_km]]&lt;=200, "0–200 km",IF(electric_vehicles_spec_2025_csv[[#This Row],[range_km]]&lt;=400, "201–400 km", "401+ km"))</f>
        <v>201–400 km</v>
      </c>
      <c r="N66" s="16">
        <v>12.1</v>
      </c>
      <c r="O66" s="16" t="str">
        <f>IF(electric_vehicles_spec_2025_csv[[#This Row],[acceleration_0_100_s]]&lt;4,"0–3.9 s",IF(electric_vehicles_spec_2025_csv[[#This Row],[acceleration_0_100_s]]&lt;6,"4.0–5.9 s",IF(electric_vehicles_spec_2025_csv[[#This Row],[acceleration_0_100_s]]&lt;8,"6.0–7.9 s","8.0+ s")))</f>
        <v>8.0+ s</v>
      </c>
      <c r="P66" s="16">
        <v>60</v>
      </c>
      <c r="Q66" s="16" t="str">
        <f>IF(electric_vehicles_spec_2025_csv[[#This Row],[fast_charging_power_kw_dc]]&lt;50,"0–49 kW",IF(electric_vehicles_spec_2025_csv[[#This Row],[fast_charging_power_kw_dc]]&lt;100,"50–99 kW",IF(electric_vehicles_spec_2025_csv[[#This Row],[fast_charging_power_kw_dc]]&lt;150,"100–149 kW","150+ kW")))</f>
        <v>50–99 kW</v>
      </c>
      <c r="R66" s="16" t="s">
        <v>25</v>
      </c>
      <c r="S66" s="16">
        <v>0</v>
      </c>
      <c r="T66" s="16" t="s">
        <v>197</v>
      </c>
      <c r="U66" s="16">
        <v>4</v>
      </c>
      <c r="V66" s="16" t="s">
        <v>27</v>
      </c>
      <c r="W66" s="16" t="s">
        <v>28</v>
      </c>
      <c r="X66" s="16">
        <v>3990</v>
      </c>
      <c r="Y66" s="16">
        <v>1720</v>
      </c>
      <c r="Z66" s="16">
        <v>1590</v>
      </c>
      <c r="AA66" s="16" t="s">
        <v>29</v>
      </c>
      <c r="AB66" s="16" t="s">
        <v>200</v>
      </c>
    </row>
    <row r="67" spans="1:28" x14ac:dyDescent="0.3">
      <c r="A67" s="16" t="s">
        <v>182</v>
      </c>
      <c r="B67" s="16" t="s">
        <v>201</v>
      </c>
      <c r="C67" s="16">
        <v>150</v>
      </c>
      <c r="D6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67" s="16">
        <v>43.2</v>
      </c>
      <c r="F67" s="16" t="str">
        <f>IF(electric_vehicles_spec_2025_csv[[#This Row],[battery_capacity_kWh]]&lt;=30, "0–30 kWh", IF(electric_vehicles_spec_2025_csv[[#This Row],[battery_capacity_kWh]]&lt;=60, "31–60 kWh", "61+ kWh"))</f>
        <v>31–60 kWh</v>
      </c>
      <c r="G67" s="16" t="s">
        <v>24</v>
      </c>
      <c r="H67" s="16">
        <v>90</v>
      </c>
      <c r="I67" s="16">
        <v>220</v>
      </c>
      <c r="J67" s="16">
        <v>139</v>
      </c>
      <c r="K67" s="16" t="str">
        <f t="shared" si="1"/>
        <v>131–160 Wh/km</v>
      </c>
      <c r="L67" s="16">
        <v>265</v>
      </c>
      <c r="M67" s="16" t="str">
        <f>IF(electric_vehicles_spec_2025_csv[[#This Row],[range_km]]&lt;=200, "0–200 km",IF(electric_vehicles_spec_2025_csv[[#This Row],[range_km]]&lt;=400, "201–400 km", "401+ km"))</f>
        <v>201–400 km</v>
      </c>
      <c r="N67" s="16">
        <v>9.1</v>
      </c>
      <c r="O67" s="16" t="str">
        <f>IF(electric_vehicles_spec_2025_csv[[#This Row],[acceleration_0_100_s]]&lt;4,"0–3.9 s",IF(electric_vehicles_spec_2025_csv[[#This Row],[acceleration_0_100_s]]&lt;6,"4.0–5.9 s",IF(electric_vehicles_spec_2025_csv[[#This Row],[acceleration_0_100_s]]&lt;8,"6.0–7.9 s","8.0+ s")))</f>
        <v>8.0+ s</v>
      </c>
      <c r="P67" s="16">
        <v>60</v>
      </c>
      <c r="Q67" s="16" t="str">
        <f>IF(electric_vehicles_spec_2025_csv[[#This Row],[fast_charging_power_kw_dc]]&lt;50,"0–49 kW",IF(electric_vehicles_spec_2025_csv[[#This Row],[fast_charging_power_kw_dc]]&lt;100,"50–99 kW",IF(electric_vehicles_spec_2025_csv[[#This Row],[fast_charging_power_kw_dc]]&lt;150,"100–149 kW","150+ kW")))</f>
        <v>50–99 kW</v>
      </c>
      <c r="R67" s="16" t="s">
        <v>25</v>
      </c>
      <c r="S67" s="16">
        <v>0</v>
      </c>
      <c r="T67" s="16" t="s">
        <v>197</v>
      </c>
      <c r="U67" s="16">
        <v>4</v>
      </c>
      <c r="V67" s="16" t="s">
        <v>27</v>
      </c>
      <c r="W67" s="16" t="s">
        <v>28</v>
      </c>
      <c r="X67" s="16">
        <v>3990</v>
      </c>
      <c r="Y67" s="16">
        <v>1720</v>
      </c>
      <c r="Z67" s="16">
        <v>1590</v>
      </c>
      <c r="AA67" s="16" t="s">
        <v>29</v>
      </c>
      <c r="AB67" s="16" t="s">
        <v>202</v>
      </c>
    </row>
    <row r="68" spans="1:28" x14ac:dyDescent="0.3">
      <c r="A68" s="16" t="s">
        <v>182</v>
      </c>
      <c r="B68" s="16" t="s">
        <v>203</v>
      </c>
      <c r="C68" s="16">
        <v>220</v>
      </c>
      <c r="D6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68" s="16">
        <v>61.4</v>
      </c>
      <c r="F68" s="16" t="str">
        <f>IF(electric_vehicles_spec_2025_csv[[#This Row],[battery_capacity_kWh]]&lt;=30, "0–30 kWh", IF(electric_vehicles_spec_2025_csv[[#This Row],[battery_capacity_kWh]]&lt;=60, "31–60 kWh", "61+ kWh"))</f>
        <v>61+ kWh</v>
      </c>
      <c r="G68" s="16" t="s">
        <v>24</v>
      </c>
      <c r="H68" s="16">
        <v>128</v>
      </c>
      <c r="I68" s="16">
        <v>380</v>
      </c>
      <c r="J68" s="16">
        <v>133</v>
      </c>
      <c r="K68" s="16" t="str">
        <f t="shared" si="1"/>
        <v>131–160 Wh/km</v>
      </c>
      <c r="L68" s="16">
        <v>365</v>
      </c>
      <c r="M68" s="16" t="str">
        <f>IF(electric_vehicles_spec_2025_csv[[#This Row],[range_km]]&lt;=200, "0–200 km",IF(electric_vehicles_spec_2025_csv[[#This Row],[range_km]]&lt;=400, "201–400 km", "401+ km"))</f>
        <v>201–400 km</v>
      </c>
      <c r="N68" s="16">
        <v>7.5</v>
      </c>
      <c r="O68" s="16" t="str">
        <f>IF(electric_vehicles_spec_2025_csv[[#This Row],[acceleration_0_100_s]]&lt;4,"0–3.9 s",IF(electric_vehicles_spec_2025_csv[[#This Row],[acceleration_0_100_s]]&lt;6,"4.0–5.9 s",IF(electric_vehicles_spec_2025_csv[[#This Row],[acceleration_0_100_s]]&lt;8,"6.0–7.9 s","8.0+ s")))</f>
        <v>6.0–7.9 s</v>
      </c>
      <c r="P68" s="16">
        <v>75</v>
      </c>
      <c r="Q68" s="16" t="str">
        <f>IF(electric_vehicles_spec_2025_csv[[#This Row],[fast_charging_power_kw_dc]]&lt;50,"0–49 kW",IF(electric_vehicles_spec_2025_csv[[#This Row],[fast_charging_power_kw_dc]]&lt;100,"50–99 kW",IF(electric_vehicles_spec_2025_csv[[#This Row],[fast_charging_power_kw_dc]]&lt;150,"100–149 kW","150+ kW")))</f>
        <v>50–99 kW</v>
      </c>
      <c r="R68" s="16" t="s">
        <v>25</v>
      </c>
      <c r="S68" s="16">
        <v>750</v>
      </c>
      <c r="T68" s="16" t="s">
        <v>50</v>
      </c>
      <c r="U68" s="16">
        <v>5</v>
      </c>
      <c r="V68" s="16" t="s">
        <v>63</v>
      </c>
      <c r="W68" s="16" t="s">
        <v>137</v>
      </c>
      <c r="X68" s="16">
        <v>4800</v>
      </c>
      <c r="Y68" s="16">
        <v>1875</v>
      </c>
      <c r="Z68" s="16">
        <v>1460</v>
      </c>
      <c r="AA68" s="16" t="s">
        <v>125</v>
      </c>
      <c r="AB68" s="16" t="s">
        <v>204</v>
      </c>
    </row>
    <row r="69" spans="1:28" x14ac:dyDescent="0.3">
      <c r="A69" s="16" t="s">
        <v>182</v>
      </c>
      <c r="B69" s="16" t="s">
        <v>205</v>
      </c>
      <c r="C69" s="16">
        <v>180</v>
      </c>
      <c r="D6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69" s="16">
        <v>82.5</v>
      </c>
      <c r="F69" s="16" t="str">
        <f>IF(electric_vehicles_spec_2025_csv[[#This Row],[battery_capacity_kWh]]&lt;=30, "0–30 kWh", IF(electric_vehicles_spec_2025_csv[[#This Row],[battery_capacity_kWh]]&lt;=60, "31–60 kWh", "61+ kWh"))</f>
        <v>61+ kWh</v>
      </c>
      <c r="G69" s="16" t="s">
        <v>24</v>
      </c>
      <c r="H69" s="16">
        <v>172</v>
      </c>
      <c r="I69" s="16">
        <v>670</v>
      </c>
      <c r="J69" s="16">
        <v>159</v>
      </c>
      <c r="K69" s="16" t="str">
        <f t="shared" si="1"/>
        <v>131–160 Wh/km</v>
      </c>
      <c r="L69" s="16">
        <v>445</v>
      </c>
      <c r="M69" s="16" t="str">
        <f>IF(electric_vehicles_spec_2025_csv[[#This Row],[range_km]]&lt;=200, "0–200 km",IF(electric_vehicles_spec_2025_csv[[#This Row],[range_km]]&lt;=400, "201–400 km", "401+ km"))</f>
        <v>401+ km</v>
      </c>
      <c r="N69" s="16">
        <v>3.8</v>
      </c>
      <c r="O69" s="16" t="str">
        <f>IF(electric_vehicles_spec_2025_csv[[#This Row],[acceleration_0_100_s]]&lt;4,"0–3.9 s",IF(electric_vehicles_spec_2025_csv[[#This Row],[acceleration_0_100_s]]&lt;6,"4.0–5.9 s",IF(electric_vehicles_spec_2025_csv[[#This Row],[acceleration_0_100_s]]&lt;8,"6.0–7.9 s","8.0+ s")))</f>
        <v>0–3.9 s</v>
      </c>
      <c r="P69" s="16">
        <v>100</v>
      </c>
      <c r="Q69" s="16" t="str">
        <f>IF(electric_vehicles_spec_2025_csv[[#This Row],[fast_charging_power_kw_dc]]&lt;50,"0–49 kW",IF(electric_vehicles_spec_2025_csv[[#This Row],[fast_charging_power_kw_dc]]&lt;100,"50–99 kW",IF(electric_vehicles_spec_2025_csv[[#This Row],[fast_charging_power_kw_dc]]&lt;150,"100–149 kW","150+ kW")))</f>
        <v>100–149 kW</v>
      </c>
      <c r="R69" s="16" t="s">
        <v>25</v>
      </c>
      <c r="S69" s="16">
        <v>1500</v>
      </c>
      <c r="T69" s="16" t="s">
        <v>50</v>
      </c>
      <c r="U69" s="16">
        <v>5</v>
      </c>
      <c r="V69" s="16" t="s">
        <v>70</v>
      </c>
      <c r="W69" s="16" t="s">
        <v>137</v>
      </c>
      <c r="X69" s="16">
        <v>4800</v>
      </c>
      <c r="Y69" s="16">
        <v>1875</v>
      </c>
      <c r="Z69" s="16">
        <v>1460</v>
      </c>
      <c r="AA69" s="16" t="s">
        <v>125</v>
      </c>
      <c r="AB69" s="16" t="s">
        <v>206</v>
      </c>
    </row>
    <row r="70" spans="1:28" x14ac:dyDescent="0.3">
      <c r="A70" s="16" t="s">
        <v>182</v>
      </c>
      <c r="B70" s="16" t="s">
        <v>207</v>
      </c>
      <c r="C70" s="16">
        <v>180</v>
      </c>
      <c r="D7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70" s="16">
        <v>82.5</v>
      </c>
      <c r="F70" s="16" t="str">
        <f>IF(electric_vehicles_spec_2025_csv[[#This Row],[battery_capacity_kWh]]&lt;=30, "0–30 kWh", IF(electric_vehicles_spec_2025_csv[[#This Row],[battery_capacity_kWh]]&lt;=60, "31–60 kWh", "61+ kWh"))</f>
        <v>61+ kWh</v>
      </c>
      <c r="G70" s="16" t="s">
        <v>24</v>
      </c>
      <c r="H70" s="16">
        <v>172</v>
      </c>
      <c r="I70" s="16">
        <v>360</v>
      </c>
      <c r="J70" s="16">
        <v>145</v>
      </c>
      <c r="K70" s="16" t="str">
        <f t="shared" si="1"/>
        <v>131–160 Wh/km</v>
      </c>
      <c r="L70" s="16">
        <v>480</v>
      </c>
      <c r="M70" s="16" t="str">
        <f>IF(electric_vehicles_spec_2025_csv[[#This Row],[range_km]]&lt;=200, "0–200 km",IF(electric_vehicles_spec_2025_csv[[#This Row],[range_km]]&lt;=400, "201–400 km", "401+ km"))</f>
        <v>401+ km</v>
      </c>
      <c r="N70" s="16">
        <v>5.9</v>
      </c>
      <c r="O70" s="16" t="str">
        <f>IF(electric_vehicles_spec_2025_csv[[#This Row],[acceleration_0_100_s]]&lt;4,"0–3.9 s",IF(electric_vehicles_spec_2025_csv[[#This Row],[acceleration_0_100_s]]&lt;6,"4.0–5.9 s",IF(electric_vehicles_spec_2025_csv[[#This Row],[acceleration_0_100_s]]&lt;8,"6.0–7.9 s","8.0+ s")))</f>
        <v>4.0–5.9 s</v>
      </c>
      <c r="P70" s="16">
        <v>100</v>
      </c>
      <c r="Q70" s="16" t="str">
        <f>IF(electric_vehicles_spec_2025_csv[[#This Row],[fast_charging_power_kw_dc]]&lt;50,"0–49 kW",IF(electric_vehicles_spec_2025_csv[[#This Row],[fast_charging_power_kw_dc]]&lt;100,"50–99 kW",IF(electric_vehicles_spec_2025_csv[[#This Row],[fast_charging_power_kw_dc]]&lt;150,"100–149 kW","150+ kW")))</f>
        <v>100–149 kW</v>
      </c>
      <c r="R70" s="16" t="s">
        <v>25</v>
      </c>
      <c r="S70" s="16">
        <v>750</v>
      </c>
      <c r="T70" s="16" t="s">
        <v>50</v>
      </c>
      <c r="U70" s="16">
        <v>5</v>
      </c>
      <c r="V70" s="16" t="s">
        <v>63</v>
      </c>
      <c r="W70" s="16" t="s">
        <v>137</v>
      </c>
      <c r="X70" s="16">
        <v>4800</v>
      </c>
      <c r="Y70" s="16">
        <v>1875</v>
      </c>
      <c r="Z70" s="16">
        <v>1460</v>
      </c>
      <c r="AA70" s="16" t="s">
        <v>125</v>
      </c>
      <c r="AB70" s="16" t="s">
        <v>208</v>
      </c>
    </row>
    <row r="71" spans="1:28" x14ac:dyDescent="0.3">
      <c r="A71" s="16" t="s">
        <v>182</v>
      </c>
      <c r="B71" s="16" t="s">
        <v>209</v>
      </c>
      <c r="C71" s="16">
        <v>175</v>
      </c>
      <c r="D7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71" s="16">
        <v>71.8</v>
      </c>
      <c r="F71" s="16" t="str">
        <f>IF(electric_vehicles_spec_2025_csv[[#This Row],[battery_capacity_kWh]]&lt;=30, "0–30 kWh", IF(electric_vehicles_spec_2025_csv[[#This Row],[battery_capacity_kWh]]&lt;=60, "31–60 kWh", "61+ kWh"))</f>
        <v>61+ kWh</v>
      </c>
      <c r="G71" s="16" t="s">
        <v>24</v>
      </c>
      <c r="H71" s="16">
        <v>132</v>
      </c>
      <c r="I71" s="16">
        <v>310</v>
      </c>
      <c r="J71" s="16">
        <v>171</v>
      </c>
      <c r="K71" s="16" t="str">
        <f t="shared" si="1"/>
        <v>161+ Wh/km</v>
      </c>
      <c r="L71" s="16">
        <v>360</v>
      </c>
      <c r="M71" s="16" t="str">
        <f>IF(electric_vehicles_spec_2025_csv[[#This Row],[range_km]]&lt;=200, "0–200 km",IF(electric_vehicles_spec_2025_csv[[#This Row],[range_km]]&lt;=400, "201–400 km", "401+ km"))</f>
        <v>201–400 km</v>
      </c>
      <c r="N71" s="16">
        <v>9.3000000000000007</v>
      </c>
      <c r="O71" s="16" t="str">
        <f>IF(electric_vehicles_spec_2025_csv[[#This Row],[acceleration_0_100_s]]&lt;4,"0–3.9 s",IF(electric_vehicles_spec_2025_csv[[#This Row],[acceleration_0_100_s]]&lt;6,"4.0–5.9 s",IF(electric_vehicles_spec_2025_csv[[#This Row],[acceleration_0_100_s]]&lt;8,"6.0–7.9 s","8.0+ s")))</f>
        <v>8.0+ s</v>
      </c>
      <c r="P71" s="16">
        <v>72</v>
      </c>
      <c r="Q71" s="16" t="str">
        <f>IF(electric_vehicles_spec_2025_csv[[#This Row],[fast_charging_power_kw_dc]]&lt;50,"0–49 kW",IF(electric_vehicles_spec_2025_csv[[#This Row],[fast_charging_power_kw_dc]]&lt;100,"50–99 kW",IF(electric_vehicles_spec_2025_csv[[#This Row],[fast_charging_power_kw_dc]]&lt;150,"100–149 kW","150+ kW")))</f>
        <v>50–99 kW</v>
      </c>
      <c r="R71" s="16" t="s">
        <v>25</v>
      </c>
      <c r="S71" s="16">
        <v>1300</v>
      </c>
      <c r="T71" s="16" t="s">
        <v>210</v>
      </c>
      <c r="U71" s="16">
        <v>5</v>
      </c>
      <c r="V71" s="16" t="s">
        <v>27</v>
      </c>
      <c r="W71" s="16" t="s">
        <v>99</v>
      </c>
      <c r="X71" s="16">
        <v>4785</v>
      </c>
      <c r="Y71" s="16">
        <v>1890</v>
      </c>
      <c r="Z71" s="16">
        <v>1668</v>
      </c>
      <c r="AA71" s="16" t="s">
        <v>36</v>
      </c>
      <c r="AB71" s="16" t="s">
        <v>211</v>
      </c>
    </row>
    <row r="72" spans="1:28" x14ac:dyDescent="0.3">
      <c r="A72" s="16" t="s">
        <v>182</v>
      </c>
      <c r="B72" s="16" t="s">
        <v>212</v>
      </c>
      <c r="C72" s="16">
        <v>175</v>
      </c>
      <c r="D7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72" s="16">
        <v>87</v>
      </c>
      <c r="F72" s="16" t="str">
        <f>IF(electric_vehicles_spec_2025_csv[[#This Row],[battery_capacity_kWh]]&lt;=30, "0–30 kWh", IF(electric_vehicles_spec_2025_csv[[#This Row],[battery_capacity_kWh]]&lt;=60, "31–60 kWh", "61+ kWh"))</f>
        <v>61+ kWh</v>
      </c>
      <c r="G72" s="16" t="s">
        <v>24</v>
      </c>
      <c r="H72" s="16">
        <v>160</v>
      </c>
      <c r="I72" s="16">
        <v>330</v>
      </c>
      <c r="J72" s="16">
        <v>174</v>
      </c>
      <c r="K72" s="16" t="str">
        <f t="shared" si="1"/>
        <v>161+ Wh/km</v>
      </c>
      <c r="L72" s="16">
        <v>425</v>
      </c>
      <c r="M72" s="16" t="str">
        <f>IF(electric_vehicles_spec_2025_csv[[#This Row],[range_km]]&lt;=200, "0–200 km",IF(electric_vehicles_spec_2025_csv[[#This Row],[range_km]]&lt;=400, "201–400 km", "401+ km"))</f>
        <v>401+ km</v>
      </c>
      <c r="N72" s="16">
        <v>9.6</v>
      </c>
      <c r="O72" s="16" t="str">
        <f>IF(electric_vehicles_spec_2025_csv[[#This Row],[acceleration_0_100_s]]&lt;4,"0–3.9 s",IF(electric_vehicles_spec_2025_csv[[#This Row],[acceleration_0_100_s]]&lt;6,"4.0–5.9 s",IF(electric_vehicles_spec_2025_csv[[#This Row],[acceleration_0_100_s]]&lt;8,"6.0–7.9 s","8.0+ s")))</f>
        <v>8.0+ s</v>
      </c>
      <c r="P72" s="16">
        <v>85</v>
      </c>
      <c r="Q72" s="16" t="str">
        <f>IF(electric_vehicles_spec_2025_csv[[#This Row],[fast_charging_power_kw_dc]]&lt;50,"0–49 kW",IF(electric_vehicles_spec_2025_csv[[#This Row],[fast_charging_power_kw_dc]]&lt;100,"50–99 kW",IF(electric_vehicles_spec_2025_csv[[#This Row],[fast_charging_power_kw_dc]]&lt;150,"100–149 kW","150+ kW")))</f>
        <v>50–99 kW</v>
      </c>
      <c r="R72" s="16" t="s">
        <v>25</v>
      </c>
      <c r="S72" s="16">
        <v>1300</v>
      </c>
      <c r="T72" s="16" t="s">
        <v>210</v>
      </c>
      <c r="U72" s="16">
        <v>5</v>
      </c>
      <c r="V72" s="16" t="s">
        <v>27</v>
      </c>
      <c r="W72" s="16" t="s">
        <v>99</v>
      </c>
      <c r="X72" s="16">
        <v>4785</v>
      </c>
      <c r="Y72" s="16">
        <v>1890</v>
      </c>
      <c r="Z72" s="16">
        <v>1668</v>
      </c>
      <c r="AA72" s="16" t="s">
        <v>36</v>
      </c>
      <c r="AB72" s="16" t="s">
        <v>213</v>
      </c>
    </row>
    <row r="73" spans="1:28" x14ac:dyDescent="0.3">
      <c r="A73" s="16" t="s">
        <v>182</v>
      </c>
      <c r="B73" s="16" t="s">
        <v>214</v>
      </c>
      <c r="C73" s="16">
        <v>215</v>
      </c>
      <c r="D7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73" s="16">
        <v>82.5</v>
      </c>
      <c r="F73" s="16" t="str">
        <f>IF(electric_vehicles_spec_2025_csv[[#This Row],[battery_capacity_kWh]]&lt;=30, "0–30 kWh", IF(electric_vehicles_spec_2025_csv[[#This Row],[battery_capacity_kWh]]&lt;=60, "31–60 kWh", "61+ kWh"))</f>
        <v>61+ kWh</v>
      </c>
      <c r="G73" s="16" t="s">
        <v>24</v>
      </c>
      <c r="H73" s="16">
        <v>172</v>
      </c>
      <c r="I73" s="16">
        <v>690</v>
      </c>
      <c r="J73" s="16">
        <v>181</v>
      </c>
      <c r="K73" s="16" t="str">
        <f t="shared" si="1"/>
        <v>161+ Wh/km</v>
      </c>
      <c r="L73" s="16">
        <v>400</v>
      </c>
      <c r="M73" s="16" t="str">
        <f>IF(electric_vehicles_spec_2025_csv[[#This Row],[range_km]]&lt;=200, "0–200 km",IF(electric_vehicles_spec_2025_csv[[#This Row],[range_km]]&lt;=400, "201–400 km", "401+ km"))</f>
        <v>201–400 km</v>
      </c>
      <c r="N73" s="16">
        <v>4.5</v>
      </c>
      <c r="O73" s="16" t="str">
        <f>IF(electric_vehicles_spec_2025_csv[[#This Row],[acceleration_0_100_s]]&lt;4,"0–3.9 s",IF(electric_vehicles_spec_2025_csv[[#This Row],[acceleration_0_100_s]]&lt;6,"4.0–5.9 s",IF(electric_vehicles_spec_2025_csv[[#This Row],[acceleration_0_100_s]]&lt;8,"6.0–7.9 s","8.0+ s")))</f>
        <v>4.0–5.9 s</v>
      </c>
      <c r="P73" s="16">
        <v>115</v>
      </c>
      <c r="Q73" s="16" t="str">
        <f>IF(electric_vehicles_spec_2025_csv[[#This Row],[fast_charging_power_kw_dc]]&lt;50,"0–49 kW",IF(electric_vehicles_spec_2025_csv[[#This Row],[fast_charging_power_kw_dc]]&lt;100,"50–99 kW",IF(electric_vehicles_spec_2025_csv[[#This Row],[fast_charging_power_kw_dc]]&lt;150,"100–149 kW","150+ kW")))</f>
        <v>100–149 kW</v>
      </c>
      <c r="R73" s="16" t="s">
        <v>25</v>
      </c>
      <c r="S73" s="16">
        <v>1500</v>
      </c>
      <c r="T73" s="16" t="s">
        <v>80</v>
      </c>
      <c r="U73" s="16">
        <v>5</v>
      </c>
      <c r="V73" s="16" t="s">
        <v>70</v>
      </c>
      <c r="W73" s="16" t="s">
        <v>99</v>
      </c>
      <c r="X73" s="16">
        <v>4830</v>
      </c>
      <c r="Y73" s="16">
        <v>1925</v>
      </c>
      <c r="Z73" s="16">
        <v>1620</v>
      </c>
      <c r="AA73" s="16" t="s">
        <v>36</v>
      </c>
      <c r="AB73" s="16" t="s">
        <v>215</v>
      </c>
    </row>
    <row r="74" spans="1:28" x14ac:dyDescent="0.3">
      <c r="A74" s="16" t="s">
        <v>182</v>
      </c>
      <c r="B74" s="16" t="s">
        <v>216</v>
      </c>
      <c r="C74" s="16">
        <v>215</v>
      </c>
      <c r="D7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74" s="16">
        <v>82.5</v>
      </c>
      <c r="F74" s="16" t="str">
        <f>IF(electric_vehicles_spec_2025_csv[[#This Row],[battery_capacity_kWh]]&lt;=30, "0–30 kWh", IF(electric_vehicles_spec_2025_csv[[#This Row],[battery_capacity_kWh]]&lt;=60, "31–60 kWh", "61+ kWh"))</f>
        <v>61+ kWh</v>
      </c>
      <c r="G74" s="16" t="s">
        <v>24</v>
      </c>
      <c r="H74" s="16">
        <v>172</v>
      </c>
      <c r="I74" s="16">
        <v>380</v>
      </c>
      <c r="J74" s="16">
        <v>171</v>
      </c>
      <c r="K74" s="16" t="str">
        <f t="shared" si="1"/>
        <v>161+ Wh/km</v>
      </c>
      <c r="L74" s="16">
        <v>415</v>
      </c>
      <c r="M74" s="16" t="str">
        <f>IF(electric_vehicles_spec_2025_csv[[#This Row],[range_km]]&lt;=200, "0–200 km",IF(electric_vehicles_spec_2025_csv[[#This Row],[range_km]]&lt;=400, "201–400 km", "401+ km"))</f>
        <v>401+ km</v>
      </c>
      <c r="N74" s="16">
        <v>6.7</v>
      </c>
      <c r="O74" s="16" t="str">
        <f>IF(electric_vehicles_spec_2025_csv[[#This Row],[acceleration_0_100_s]]&lt;4,"0–3.9 s",IF(electric_vehicles_spec_2025_csv[[#This Row],[acceleration_0_100_s]]&lt;6,"4.0–5.9 s",IF(electric_vehicles_spec_2025_csv[[#This Row],[acceleration_0_100_s]]&lt;8,"6.0–7.9 s","8.0+ s")))</f>
        <v>6.0–7.9 s</v>
      </c>
      <c r="P74" s="16">
        <v>115</v>
      </c>
      <c r="Q74" s="16" t="str">
        <f>IF(electric_vehicles_spec_2025_csv[[#This Row],[fast_charging_power_kw_dc]]&lt;50,"0–49 kW",IF(electric_vehicles_spec_2025_csv[[#This Row],[fast_charging_power_kw_dc]]&lt;100,"50–99 kW",IF(electric_vehicles_spec_2025_csv[[#This Row],[fast_charging_power_kw_dc]]&lt;150,"100–149 kW","150+ kW")))</f>
        <v>100–149 kW</v>
      </c>
      <c r="R74" s="16" t="s">
        <v>25</v>
      </c>
      <c r="S74" s="16">
        <v>750</v>
      </c>
      <c r="T74" s="16" t="s">
        <v>80</v>
      </c>
      <c r="U74" s="16">
        <v>5</v>
      </c>
      <c r="V74" s="16" t="s">
        <v>63</v>
      </c>
      <c r="W74" s="16" t="s">
        <v>99</v>
      </c>
      <c r="X74" s="16">
        <v>4830</v>
      </c>
      <c r="Y74" s="16">
        <v>1925</v>
      </c>
      <c r="Z74" s="16">
        <v>1620</v>
      </c>
      <c r="AA74" s="16" t="s">
        <v>36</v>
      </c>
      <c r="AB74" s="16" t="s">
        <v>217</v>
      </c>
    </row>
    <row r="75" spans="1:28" x14ac:dyDescent="0.3">
      <c r="A75" s="16" t="s">
        <v>182</v>
      </c>
      <c r="B75" s="16" t="s">
        <v>218</v>
      </c>
      <c r="C75" s="16">
        <v>215</v>
      </c>
      <c r="D7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75" s="16">
        <v>91.3</v>
      </c>
      <c r="F75" s="16" t="str">
        <f>IF(electric_vehicles_spec_2025_csv[[#This Row],[battery_capacity_kWh]]&lt;=30, "0–30 kWh", IF(electric_vehicles_spec_2025_csv[[#This Row],[battery_capacity_kWh]]&lt;=60, "31–60 kWh", "61+ kWh"))</f>
        <v>61+ kWh</v>
      </c>
      <c r="G75" s="16" t="s">
        <v>24</v>
      </c>
      <c r="H75" s="16"/>
      <c r="I75" s="16">
        <v>690</v>
      </c>
      <c r="J75" s="16">
        <v>182</v>
      </c>
      <c r="K75" s="16" t="str">
        <f t="shared" si="1"/>
        <v>161+ Wh/km</v>
      </c>
      <c r="L75" s="16">
        <v>430</v>
      </c>
      <c r="M75" s="16" t="str">
        <f>IF(electric_vehicles_spec_2025_csv[[#This Row],[range_km]]&lt;=200, "0–200 km",IF(electric_vehicles_spec_2025_csv[[#This Row],[range_km]]&lt;=400, "201–400 km", "401+ km"))</f>
        <v>401+ km</v>
      </c>
      <c r="N75" s="16">
        <v>4.5</v>
      </c>
      <c r="O75" s="16" t="str">
        <f>IF(electric_vehicles_spec_2025_csv[[#This Row],[acceleration_0_100_s]]&lt;4,"0–3.9 s",IF(electric_vehicles_spec_2025_csv[[#This Row],[acceleration_0_100_s]]&lt;6,"4.0–5.9 s",IF(electric_vehicles_spec_2025_csv[[#This Row],[acceleration_0_100_s]]&lt;8,"6.0–7.9 s","8.0+ s")))</f>
        <v>4.0–5.9 s</v>
      </c>
      <c r="P75" s="16">
        <v>165</v>
      </c>
      <c r="Q75" s="16" t="str">
        <f>IF(electric_vehicles_spec_2025_csv[[#This Row],[fast_charging_power_kw_dc]]&lt;50,"0–49 kW",IF(electric_vehicles_spec_2025_csv[[#This Row],[fast_charging_power_kw_dc]]&lt;100,"50–99 kW",IF(electric_vehicles_spec_2025_csv[[#This Row],[fast_charging_power_kw_dc]]&lt;150,"100–149 kW","150+ kW")))</f>
        <v>150+ kW</v>
      </c>
      <c r="R75" s="16" t="s">
        <v>25</v>
      </c>
      <c r="S75" s="16">
        <v>1500</v>
      </c>
      <c r="T75" s="16" t="s">
        <v>80</v>
      </c>
      <c r="U75" s="16">
        <v>5</v>
      </c>
      <c r="V75" s="16" t="s">
        <v>70</v>
      </c>
      <c r="W75" s="16" t="s">
        <v>99</v>
      </c>
      <c r="X75" s="16">
        <v>4830</v>
      </c>
      <c r="Y75" s="16">
        <v>1925</v>
      </c>
      <c r="Z75" s="16">
        <v>1620</v>
      </c>
      <c r="AA75" s="16" t="s">
        <v>36</v>
      </c>
      <c r="AB75" s="16" t="s">
        <v>219</v>
      </c>
    </row>
    <row r="76" spans="1:28" x14ac:dyDescent="0.3">
      <c r="A76" s="16" t="s">
        <v>182</v>
      </c>
      <c r="B76" s="16" t="s">
        <v>220</v>
      </c>
      <c r="C76" s="16">
        <v>190</v>
      </c>
      <c r="D7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76" s="16">
        <v>108.8</v>
      </c>
      <c r="F76" s="16" t="str">
        <f>IF(electric_vehicles_spec_2025_csv[[#This Row],[battery_capacity_kWh]]&lt;=30, "0–30 kWh", IF(electric_vehicles_spec_2025_csv[[#This Row],[battery_capacity_kWh]]&lt;=60, "31–60 kWh", "61+ kWh"))</f>
        <v>61+ kWh</v>
      </c>
      <c r="G76" s="16" t="s">
        <v>24</v>
      </c>
      <c r="H76" s="16"/>
      <c r="I76" s="16">
        <v>700</v>
      </c>
      <c r="J76" s="16">
        <v>205</v>
      </c>
      <c r="K76" s="16" t="str">
        <f t="shared" si="1"/>
        <v>161+ Wh/km</v>
      </c>
      <c r="L76" s="16">
        <v>460</v>
      </c>
      <c r="M76" s="16" t="str">
        <f>IF(electric_vehicles_spec_2025_csv[[#This Row],[range_km]]&lt;=200, "0–200 km",IF(electric_vehicles_spec_2025_csv[[#This Row],[range_km]]&lt;=400, "201–400 km", "401+ km"))</f>
        <v>401+ km</v>
      </c>
      <c r="N76" s="16">
        <v>4.9000000000000004</v>
      </c>
      <c r="O76" s="16" t="str">
        <f>IF(electric_vehicles_spec_2025_csv[[#This Row],[acceleration_0_100_s]]&lt;4,"0–3.9 s",IF(electric_vehicles_spec_2025_csv[[#This Row],[acceleration_0_100_s]]&lt;6,"4.0–5.9 s",IF(electric_vehicles_spec_2025_csv[[#This Row],[acceleration_0_100_s]]&lt;8,"6.0–7.9 s","8.0+ s")))</f>
        <v>4.0–5.9 s</v>
      </c>
      <c r="P76" s="16">
        <v>100</v>
      </c>
      <c r="Q76" s="16" t="str">
        <f>IF(electric_vehicles_spec_2025_csv[[#This Row],[fast_charging_power_kw_dc]]&lt;50,"0–49 kW",IF(electric_vehicles_spec_2025_csv[[#This Row],[fast_charging_power_kw_dc]]&lt;100,"50–99 kW",IF(electric_vehicles_spec_2025_csv[[#This Row],[fast_charging_power_kw_dc]]&lt;150,"100–149 kW","150+ kW")))</f>
        <v>100–149 kW</v>
      </c>
      <c r="R76" s="16" t="s">
        <v>25</v>
      </c>
      <c r="S76" s="16">
        <v>1500</v>
      </c>
      <c r="T76" s="16" t="s">
        <v>221</v>
      </c>
      <c r="U76" s="16">
        <v>7</v>
      </c>
      <c r="V76" s="16" t="s">
        <v>70</v>
      </c>
      <c r="W76" s="16" t="s">
        <v>64</v>
      </c>
      <c r="X76" s="16">
        <v>4970</v>
      </c>
      <c r="Y76" s="16">
        <v>1955</v>
      </c>
      <c r="Z76" s="16">
        <v>1745</v>
      </c>
      <c r="AA76" s="16" t="s">
        <v>36</v>
      </c>
      <c r="AB76" s="16" t="s">
        <v>222</v>
      </c>
    </row>
    <row r="77" spans="1:28" x14ac:dyDescent="0.3">
      <c r="A77" s="16" t="s">
        <v>223</v>
      </c>
      <c r="B77" s="16" t="s">
        <v>224</v>
      </c>
      <c r="C77" s="16">
        <v>160</v>
      </c>
      <c r="D7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77" s="16">
        <v>59</v>
      </c>
      <c r="F77" s="16" t="str">
        <f>IF(electric_vehicles_spec_2025_csv[[#This Row],[battery_capacity_kWh]]&lt;=30, "0–30 kWh", IF(electric_vehicles_spec_2025_csv[[#This Row],[battery_capacity_kWh]]&lt;=60, "31–60 kWh", "61+ kWh"))</f>
        <v>31–60 kWh</v>
      </c>
      <c r="G77" s="16" t="s">
        <v>24</v>
      </c>
      <c r="H77" s="16">
        <v>216</v>
      </c>
      <c r="I77" s="16">
        <v>310</v>
      </c>
      <c r="J77" s="16">
        <v>156</v>
      </c>
      <c r="K77" s="16" t="str">
        <f t="shared" si="1"/>
        <v>131–160 Wh/km</v>
      </c>
      <c r="L77" s="16">
        <v>360</v>
      </c>
      <c r="M77" s="16" t="str">
        <f>IF(electric_vehicles_spec_2025_csv[[#This Row],[range_km]]&lt;=200, "0–200 km",IF(electric_vehicles_spec_2025_csv[[#This Row],[range_km]]&lt;=400, "201–400 km", "401+ km"))</f>
        <v>201–400 km</v>
      </c>
      <c r="N77" s="16">
        <v>6.7</v>
      </c>
      <c r="O77" s="16" t="str">
        <f>IF(electric_vehicles_spec_2025_csv[[#This Row],[acceleration_0_100_s]]&lt;4,"0–3.9 s",IF(electric_vehicles_spec_2025_csv[[#This Row],[acceleration_0_100_s]]&lt;6,"4.0–5.9 s",IF(electric_vehicles_spec_2025_csv[[#This Row],[acceleration_0_100_s]]&lt;8,"6.0–7.9 s","8.0+ s")))</f>
        <v>6.0–7.9 s</v>
      </c>
      <c r="P77" s="16">
        <v>110</v>
      </c>
      <c r="Q77" s="16" t="str">
        <f>IF(electric_vehicles_spec_2025_csv[[#This Row],[fast_charging_power_kw_dc]]&lt;50,"0–49 kW",IF(electric_vehicles_spec_2025_csv[[#This Row],[fast_charging_power_kw_dc]]&lt;100,"50–99 kW",IF(electric_vehicles_spec_2025_csv[[#This Row],[fast_charging_power_kw_dc]]&lt;150,"100–149 kW","150+ kW")))</f>
        <v>100–149 kW</v>
      </c>
      <c r="R77" s="16" t="s">
        <v>25</v>
      </c>
      <c r="S77" s="16">
        <v>0</v>
      </c>
      <c r="T77" s="16" t="s">
        <v>225</v>
      </c>
      <c r="U77" s="16">
        <v>5</v>
      </c>
      <c r="V77" s="16" t="s">
        <v>63</v>
      </c>
      <c r="W77" s="16" t="s">
        <v>190</v>
      </c>
      <c r="X77" s="16">
        <v>4322</v>
      </c>
      <c r="Y77" s="16">
        <v>1809</v>
      </c>
      <c r="Z77" s="16">
        <v>1540</v>
      </c>
      <c r="AA77" s="16" t="s">
        <v>29</v>
      </c>
      <c r="AB77" s="16" t="s">
        <v>226</v>
      </c>
    </row>
    <row r="78" spans="1:28" x14ac:dyDescent="0.3">
      <c r="A78" s="16" t="s">
        <v>223</v>
      </c>
      <c r="B78" s="16" t="s">
        <v>227</v>
      </c>
      <c r="C78" s="16">
        <v>160</v>
      </c>
      <c r="D7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78" s="16">
        <v>77</v>
      </c>
      <c r="F78" s="16" t="str">
        <f>IF(electric_vehicles_spec_2025_csv[[#This Row],[battery_capacity_kWh]]&lt;=30, "0–30 kWh", IF(electric_vehicles_spec_2025_csv[[#This Row],[battery_capacity_kWh]]&lt;=60, "31–60 kWh", "61+ kWh"))</f>
        <v>61+ kWh</v>
      </c>
      <c r="G78" s="16" t="s">
        <v>24</v>
      </c>
      <c r="H78" s="16">
        <v>288</v>
      </c>
      <c r="I78" s="16">
        <v>310</v>
      </c>
      <c r="J78" s="16">
        <v>157</v>
      </c>
      <c r="K78" s="16" t="str">
        <f t="shared" si="1"/>
        <v>131–160 Wh/km</v>
      </c>
      <c r="L78" s="16">
        <v>460</v>
      </c>
      <c r="M78" s="16" t="str">
        <f>IF(electric_vehicles_spec_2025_csv[[#This Row],[range_km]]&lt;=200, "0–200 km",IF(electric_vehicles_spec_2025_csv[[#This Row],[range_km]]&lt;=400, "201–400 km", "401+ km"))</f>
        <v>401+ km</v>
      </c>
      <c r="N78" s="16">
        <v>7</v>
      </c>
      <c r="O78" s="16" t="str">
        <f>IF(electric_vehicles_spec_2025_csv[[#This Row],[acceleration_0_100_s]]&lt;4,"0–3.9 s",IF(electric_vehicles_spec_2025_csv[[#This Row],[acceleration_0_100_s]]&lt;6,"4.0–5.9 s",IF(electric_vehicles_spec_2025_csv[[#This Row],[acceleration_0_100_s]]&lt;8,"6.0–7.9 s","8.0+ s")))</f>
        <v>6.0–7.9 s</v>
      </c>
      <c r="P78" s="16">
        <v>125</v>
      </c>
      <c r="Q78" s="16" t="str">
        <f>IF(electric_vehicles_spec_2025_csv[[#This Row],[fast_charging_power_kw_dc]]&lt;50,"0–49 kW",IF(electric_vehicles_spec_2025_csv[[#This Row],[fast_charging_power_kw_dc]]&lt;100,"50–99 kW",IF(electric_vehicles_spec_2025_csv[[#This Row],[fast_charging_power_kw_dc]]&lt;150,"100–149 kW","150+ kW")))</f>
        <v>100–149 kW</v>
      </c>
      <c r="R78" s="16" t="s">
        <v>25</v>
      </c>
      <c r="S78" s="16">
        <v>0</v>
      </c>
      <c r="T78" s="16" t="s">
        <v>225</v>
      </c>
      <c r="U78" s="16">
        <v>5</v>
      </c>
      <c r="V78" s="16" t="s">
        <v>63</v>
      </c>
      <c r="W78" s="16" t="s">
        <v>190</v>
      </c>
      <c r="X78" s="16">
        <v>4322</v>
      </c>
      <c r="Y78" s="16">
        <v>1809</v>
      </c>
      <c r="Z78" s="16">
        <v>1540</v>
      </c>
      <c r="AA78" s="16" t="s">
        <v>29</v>
      </c>
      <c r="AB78" s="16" t="s">
        <v>228</v>
      </c>
    </row>
    <row r="79" spans="1:28" x14ac:dyDescent="0.3">
      <c r="A79" s="16" t="s">
        <v>223</v>
      </c>
      <c r="B79" s="16" t="s">
        <v>229</v>
      </c>
      <c r="C79" s="16">
        <v>200</v>
      </c>
      <c r="D7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79" s="16">
        <v>79</v>
      </c>
      <c r="F79" s="16" t="str">
        <f>IF(electric_vehicles_spec_2025_csv[[#This Row],[battery_capacity_kWh]]&lt;=30, "0–30 kWh", IF(electric_vehicles_spec_2025_csv[[#This Row],[battery_capacity_kWh]]&lt;=60, "31–60 kWh", "61+ kWh"))</f>
        <v>61+ kWh</v>
      </c>
      <c r="G79" s="16" t="s">
        <v>24</v>
      </c>
      <c r="H79" s="16">
        <v>288</v>
      </c>
      <c r="I79" s="16">
        <v>545</v>
      </c>
      <c r="J79" s="16">
        <v>149</v>
      </c>
      <c r="K79" s="16" t="str">
        <f t="shared" si="1"/>
        <v>131–160 Wh/km</v>
      </c>
      <c r="L79" s="16">
        <v>465</v>
      </c>
      <c r="M79" s="16" t="str">
        <f>IF(electric_vehicles_spec_2025_csv[[#This Row],[range_km]]&lt;=200, "0–200 km",IF(electric_vehicles_spec_2025_csv[[#This Row],[range_km]]&lt;=400, "201–400 km", "401+ km"))</f>
        <v>401+ km</v>
      </c>
      <c r="N79" s="16">
        <v>5.6</v>
      </c>
      <c r="O79" s="16" t="str">
        <f>IF(electric_vehicles_spec_2025_csv[[#This Row],[acceleration_0_100_s]]&lt;4,"0–3.9 s",IF(electric_vehicles_spec_2025_csv[[#This Row],[acceleration_0_100_s]]&lt;6,"4.0–5.9 s",IF(electric_vehicles_spec_2025_csv[[#This Row],[acceleration_0_100_s]]&lt;8,"6.0–7.9 s","8.0+ s")))</f>
        <v>4.0–5.9 s</v>
      </c>
      <c r="P79" s="16">
        <v>135</v>
      </c>
      <c r="Q79" s="16" t="str">
        <f>IF(electric_vehicles_spec_2025_csv[[#This Row],[fast_charging_power_kw_dc]]&lt;50,"0–49 kW",IF(electric_vehicles_spec_2025_csv[[#This Row],[fast_charging_power_kw_dc]]&lt;100,"50–99 kW",IF(electric_vehicles_spec_2025_csv[[#This Row],[fast_charging_power_kw_dc]]&lt;150,"100–149 kW","150+ kW")))</f>
        <v>100–149 kW</v>
      </c>
      <c r="R79" s="16" t="s">
        <v>25</v>
      </c>
      <c r="S79" s="16">
        <v>0</v>
      </c>
      <c r="T79" s="16" t="s">
        <v>225</v>
      </c>
      <c r="U79" s="16">
        <v>5</v>
      </c>
      <c r="V79" s="16" t="s">
        <v>63</v>
      </c>
      <c r="W79" s="16" t="s">
        <v>190</v>
      </c>
      <c r="X79" s="16">
        <v>4322</v>
      </c>
      <c r="Y79" s="16">
        <v>1809</v>
      </c>
      <c r="Z79" s="16">
        <v>1538</v>
      </c>
      <c r="AA79" s="16" t="s">
        <v>29</v>
      </c>
      <c r="AB79" s="16" t="s">
        <v>230</v>
      </c>
    </row>
    <row r="80" spans="1:28" x14ac:dyDescent="0.3">
      <c r="A80" s="16" t="s">
        <v>223</v>
      </c>
      <c r="B80" s="16" t="s">
        <v>231</v>
      </c>
      <c r="C80" s="16">
        <v>180</v>
      </c>
      <c r="D8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80" s="16">
        <v>77</v>
      </c>
      <c r="F80" s="16" t="str">
        <f>IF(electric_vehicles_spec_2025_csv[[#This Row],[battery_capacity_kWh]]&lt;=30, "0–30 kWh", IF(electric_vehicles_spec_2025_csv[[#This Row],[battery_capacity_kWh]]&lt;=60, "31–60 kWh", "61+ kWh"))</f>
        <v>61+ kWh</v>
      </c>
      <c r="G80" s="16" t="s">
        <v>24</v>
      </c>
      <c r="H80" s="16">
        <v>288</v>
      </c>
      <c r="I80" s="16">
        <v>545</v>
      </c>
      <c r="J80" s="16">
        <v>142</v>
      </c>
      <c r="K80" s="16" t="str">
        <f t="shared" si="1"/>
        <v>131–160 Wh/km</v>
      </c>
      <c r="L80" s="16">
        <v>445</v>
      </c>
      <c r="M80" s="16" t="str">
        <f>IF(electric_vehicles_spec_2025_csv[[#This Row],[range_km]]&lt;=200, "0–200 km",IF(electric_vehicles_spec_2025_csv[[#This Row],[range_km]]&lt;=400, "201–400 km", "401+ km"))</f>
        <v>401+ km</v>
      </c>
      <c r="N80" s="16">
        <v>6.8</v>
      </c>
      <c r="O80" s="16" t="str">
        <f>IF(electric_vehicles_spec_2025_csv[[#This Row],[acceleration_0_100_s]]&lt;4,"0–3.9 s",IF(electric_vehicles_spec_2025_csv[[#This Row],[acceleration_0_100_s]]&lt;6,"4.0–5.9 s",IF(electric_vehicles_spec_2025_csv[[#This Row],[acceleration_0_100_s]]&lt;8,"6.0–7.9 s","8.0+ s")))</f>
        <v>6.0–7.9 s</v>
      </c>
      <c r="P80" s="16">
        <v>120</v>
      </c>
      <c r="Q80" s="16" t="str">
        <f>IF(electric_vehicles_spec_2025_csv[[#This Row],[fast_charging_power_kw_dc]]&lt;50,"0–49 kW",IF(electric_vehicles_spec_2025_csv[[#This Row],[fast_charging_power_kw_dc]]&lt;100,"50–99 kW",IF(electric_vehicles_spec_2025_csv[[#This Row],[fast_charging_power_kw_dc]]&lt;150,"100–149 kW","150+ kW")))</f>
        <v>100–149 kW</v>
      </c>
      <c r="R80" s="16" t="s">
        <v>25</v>
      </c>
      <c r="S80" s="16">
        <v>1000</v>
      </c>
      <c r="T80" s="16" t="s">
        <v>232</v>
      </c>
      <c r="U80" s="16">
        <v>5</v>
      </c>
      <c r="V80" s="16" t="s">
        <v>63</v>
      </c>
      <c r="W80" s="16" t="s">
        <v>43</v>
      </c>
      <c r="X80" s="16">
        <v>4644</v>
      </c>
      <c r="Y80" s="16">
        <v>1861</v>
      </c>
      <c r="Z80" s="16">
        <v>1597</v>
      </c>
      <c r="AA80" s="16" t="s">
        <v>36</v>
      </c>
      <c r="AB80" s="16" t="s">
        <v>233</v>
      </c>
    </row>
    <row r="81" spans="1:28" x14ac:dyDescent="0.3">
      <c r="A81" s="16" t="s">
        <v>223</v>
      </c>
      <c r="B81" s="16" t="s">
        <v>234</v>
      </c>
      <c r="C81" s="16">
        <v>180</v>
      </c>
      <c r="D8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81" s="16">
        <v>77</v>
      </c>
      <c r="F81" s="16" t="str">
        <f>IF(electric_vehicles_spec_2025_csv[[#This Row],[battery_capacity_kWh]]&lt;=30, "0–30 kWh", IF(electric_vehicles_spec_2025_csv[[#This Row],[battery_capacity_kWh]]&lt;=60, "31–60 kWh", "61+ kWh"))</f>
        <v>61+ kWh</v>
      </c>
      <c r="G81" s="16" t="s">
        <v>24</v>
      </c>
      <c r="H81" s="16">
        <v>288</v>
      </c>
      <c r="I81" s="16">
        <v>545</v>
      </c>
      <c r="J81" s="16">
        <v>150</v>
      </c>
      <c r="K81" s="16" t="str">
        <f t="shared" si="1"/>
        <v>131–160 Wh/km</v>
      </c>
      <c r="L81" s="16">
        <v>425</v>
      </c>
      <c r="M81" s="16" t="str">
        <f>IF(electric_vehicles_spec_2025_csv[[#This Row],[range_km]]&lt;=200, "0–200 km",IF(electric_vehicles_spec_2025_csv[[#This Row],[range_km]]&lt;=400, "201–400 km", "401+ km"))</f>
        <v>401+ km</v>
      </c>
      <c r="N81" s="16">
        <v>5.5</v>
      </c>
      <c r="O81" s="16" t="str">
        <f>IF(electric_vehicles_spec_2025_csv[[#This Row],[acceleration_0_100_s]]&lt;4,"0–3.9 s",IF(electric_vehicles_spec_2025_csv[[#This Row],[acceleration_0_100_s]]&lt;6,"4.0–5.9 s",IF(electric_vehicles_spec_2025_csv[[#This Row],[acceleration_0_100_s]]&lt;8,"6.0–7.9 s","8.0+ s")))</f>
        <v>4.0–5.9 s</v>
      </c>
      <c r="P81" s="16">
        <v>120</v>
      </c>
      <c r="Q81" s="16" t="str">
        <f>IF(electric_vehicles_spec_2025_csv[[#This Row],[fast_charging_power_kw_dc]]&lt;50,"0–49 kW",IF(electric_vehicles_spec_2025_csv[[#This Row],[fast_charging_power_kw_dc]]&lt;100,"50–99 kW",IF(electric_vehicles_spec_2025_csv[[#This Row],[fast_charging_power_kw_dc]]&lt;150,"100–149 kW","150+ kW")))</f>
        <v>100–149 kW</v>
      </c>
      <c r="R81" s="16" t="s">
        <v>25</v>
      </c>
      <c r="S81" s="16">
        <v>1200</v>
      </c>
      <c r="T81" s="16" t="s">
        <v>232</v>
      </c>
      <c r="U81" s="16">
        <v>5</v>
      </c>
      <c r="V81" s="16" t="s">
        <v>70</v>
      </c>
      <c r="W81" s="16" t="s">
        <v>43</v>
      </c>
      <c r="X81" s="16">
        <v>4644</v>
      </c>
      <c r="Y81" s="16">
        <v>1861</v>
      </c>
      <c r="Z81" s="16">
        <v>1597</v>
      </c>
      <c r="AA81" s="16" t="s">
        <v>36</v>
      </c>
      <c r="AB81" s="16" t="s">
        <v>235</v>
      </c>
    </row>
    <row r="82" spans="1:28" x14ac:dyDescent="0.3">
      <c r="A82" s="16" t="s">
        <v>236</v>
      </c>
      <c r="B82" s="16" t="s">
        <v>237</v>
      </c>
      <c r="C82" s="16">
        <v>210</v>
      </c>
      <c r="D8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82" s="16">
        <v>102</v>
      </c>
      <c r="F82" s="16" t="str">
        <f>IF(electric_vehicles_spec_2025_csv[[#This Row],[battery_capacity_kWh]]&lt;=30, "0–30 kWh", IF(electric_vehicles_spec_2025_csv[[#This Row],[battery_capacity_kWh]]&lt;=60, "31–60 kWh", "61+ kWh"))</f>
        <v>61+ kWh</v>
      </c>
      <c r="G82" s="16" t="s">
        <v>24</v>
      </c>
      <c r="H82" s="16">
        <v>288</v>
      </c>
      <c r="I82" s="16">
        <v>610</v>
      </c>
      <c r="J82" s="16">
        <v>192</v>
      </c>
      <c r="K82" s="16" t="str">
        <f t="shared" si="1"/>
        <v>161+ Wh/km</v>
      </c>
      <c r="L82" s="16">
        <v>460</v>
      </c>
      <c r="M82" s="16" t="str">
        <f>IF(electric_vehicles_spec_2025_csv[[#This Row],[range_km]]&lt;=200, "0–200 km",IF(electric_vehicles_spec_2025_csv[[#This Row],[range_km]]&lt;=400, "201–400 km", "401+ km"))</f>
        <v>401+ km</v>
      </c>
      <c r="N82" s="16">
        <v>5.3</v>
      </c>
      <c r="O82" s="16" t="str">
        <f>IF(electric_vehicles_spec_2025_csv[[#This Row],[acceleration_0_100_s]]&lt;4,"0–3.9 s",IF(electric_vehicles_spec_2025_csv[[#This Row],[acceleration_0_100_s]]&lt;6,"4.0–5.9 s",IF(electric_vehicles_spec_2025_csv[[#This Row],[acceleration_0_100_s]]&lt;8,"6.0–7.9 s","8.0+ s")))</f>
        <v>4.0–5.9 s</v>
      </c>
      <c r="P82" s="16">
        <v>165</v>
      </c>
      <c r="Q82" s="16" t="str">
        <f>IF(electric_vehicles_spec_2025_csv[[#This Row],[fast_charging_power_kw_dc]]&lt;50,"0–49 kW",IF(electric_vehicles_spec_2025_csv[[#This Row],[fast_charging_power_kw_dc]]&lt;100,"50–99 kW",IF(electric_vehicles_spec_2025_csv[[#This Row],[fast_charging_power_kw_dc]]&lt;150,"100–149 kW","150+ kW")))</f>
        <v>150+ kW</v>
      </c>
      <c r="R82" s="16" t="s">
        <v>25</v>
      </c>
      <c r="S82" s="16">
        <v>1587</v>
      </c>
      <c r="T82" s="16" t="s">
        <v>238</v>
      </c>
      <c r="U82" s="16">
        <v>5</v>
      </c>
      <c r="V82" s="16" t="s">
        <v>70</v>
      </c>
      <c r="W82" s="16" t="s">
        <v>239</v>
      </c>
      <c r="X82" s="16">
        <v>5005</v>
      </c>
      <c r="Y82" s="16">
        <v>1977</v>
      </c>
      <c r="Z82" s="16">
        <v>1623</v>
      </c>
      <c r="AA82" s="16" t="s">
        <v>36</v>
      </c>
      <c r="AB82" s="16" t="s">
        <v>240</v>
      </c>
    </row>
    <row r="83" spans="1:28" x14ac:dyDescent="0.3">
      <c r="A83" s="16" t="s">
        <v>241</v>
      </c>
      <c r="B83" s="16" t="s">
        <v>242</v>
      </c>
      <c r="C83" s="16">
        <v>132</v>
      </c>
      <c r="D8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83" s="16">
        <v>50</v>
      </c>
      <c r="F83" s="16" t="str">
        <f>IF(electric_vehicles_spec_2025_csv[[#This Row],[battery_capacity_kWh]]&lt;=30, "0–30 kWh", IF(electric_vehicles_spec_2025_csv[[#This Row],[battery_capacity_kWh]]&lt;=60, "31–60 kWh", "61+ kWh"))</f>
        <v>31–60 kWh</v>
      </c>
      <c r="G83" s="16" t="s">
        <v>24</v>
      </c>
      <c r="H83" s="16"/>
      <c r="I83" s="16">
        <v>260</v>
      </c>
      <c r="J83" s="16">
        <v>149</v>
      </c>
      <c r="K83" s="16" t="str">
        <f t="shared" si="1"/>
        <v>131–160 Wh/km</v>
      </c>
      <c r="L83" s="16">
        <v>235</v>
      </c>
      <c r="M83" s="16" t="str">
        <f>IF(electric_vehicles_spec_2025_csv[[#This Row],[range_km]]&lt;=200, "0–200 km",IF(electric_vehicles_spec_2025_csv[[#This Row],[range_km]]&lt;=400, "201–400 km", "401+ km"))</f>
        <v>201–400 km</v>
      </c>
      <c r="N83" s="16">
        <v>11.7</v>
      </c>
      <c r="O83" s="16" t="str">
        <f>IF(electric_vehicles_spec_2025_csv[[#This Row],[acceleration_0_100_s]]&lt;4,"0–3.9 s",IF(electric_vehicles_spec_2025_csv[[#This Row],[acceleration_0_100_s]]&lt;6,"4.0–5.9 s",IF(electric_vehicles_spec_2025_csv[[#This Row],[acceleration_0_100_s]]&lt;8,"6.0–7.9 s","8.0+ s")))</f>
        <v>8.0+ s</v>
      </c>
      <c r="P83" s="16">
        <v>80</v>
      </c>
      <c r="Q83" s="16" t="str">
        <f>IF(electric_vehicles_spec_2025_csv[[#This Row],[fast_charging_power_kw_dc]]&lt;50,"0–49 kW",IF(electric_vehicles_spec_2025_csv[[#This Row],[fast_charging_power_kw_dc]]&lt;100,"50–99 kW",IF(electric_vehicles_spec_2025_csv[[#This Row],[fast_charging_power_kw_dc]]&lt;150,"100–149 kW","150+ kW")))</f>
        <v>50–99 kW</v>
      </c>
      <c r="R83" s="16" t="s">
        <v>25</v>
      </c>
      <c r="S83" s="16">
        <v>750</v>
      </c>
      <c r="T83" s="16" t="s">
        <v>243</v>
      </c>
      <c r="U83" s="16">
        <v>5</v>
      </c>
      <c r="V83" s="16" t="s">
        <v>27</v>
      </c>
      <c r="W83" s="16" t="s">
        <v>244</v>
      </c>
      <c r="X83" s="16">
        <v>4403</v>
      </c>
      <c r="Y83" s="16">
        <v>1921</v>
      </c>
      <c r="Z83" s="16">
        <v>1803</v>
      </c>
      <c r="AA83" s="16" t="s">
        <v>245</v>
      </c>
      <c r="AB83" s="16" t="s">
        <v>246</v>
      </c>
    </row>
    <row r="84" spans="1:28" x14ac:dyDescent="0.3">
      <c r="A84" s="16" t="s">
        <v>241</v>
      </c>
      <c r="B84" s="16" t="s">
        <v>247</v>
      </c>
      <c r="C84" s="16">
        <v>132</v>
      </c>
      <c r="D8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84" s="16">
        <v>50</v>
      </c>
      <c r="F84" s="16" t="str">
        <f>IF(electric_vehicles_spec_2025_csv[[#This Row],[battery_capacity_kWh]]&lt;=30, "0–30 kWh", IF(electric_vehicles_spec_2025_csv[[#This Row],[battery_capacity_kWh]]&lt;=60, "31–60 kWh", "61+ kWh"))</f>
        <v>31–60 kWh</v>
      </c>
      <c r="G84" s="16" t="s">
        <v>24</v>
      </c>
      <c r="H84" s="16"/>
      <c r="I84" s="16">
        <v>260</v>
      </c>
      <c r="J84" s="16">
        <v>149</v>
      </c>
      <c r="K84" s="16" t="str">
        <f t="shared" si="1"/>
        <v>131–160 Wh/km</v>
      </c>
      <c r="L84" s="16">
        <v>230</v>
      </c>
      <c r="M84" s="16" t="str">
        <f>IF(electric_vehicles_spec_2025_csv[[#This Row],[range_km]]&lt;=200, "0–200 km",IF(electric_vehicles_spec_2025_csv[[#This Row],[range_km]]&lt;=400, "201–400 km", "401+ km"))</f>
        <v>201–400 km</v>
      </c>
      <c r="N84" s="16">
        <v>11.7</v>
      </c>
      <c r="O84" s="16" t="str">
        <f>IF(electric_vehicles_spec_2025_csv[[#This Row],[acceleration_0_100_s]]&lt;4,"0–3.9 s",IF(electric_vehicles_spec_2025_csv[[#This Row],[acceleration_0_100_s]]&lt;6,"4.0–5.9 s",IF(electric_vehicles_spec_2025_csv[[#This Row],[acceleration_0_100_s]]&lt;8,"6.0–7.9 s","8.0+ s")))</f>
        <v>8.0+ s</v>
      </c>
      <c r="P84" s="16">
        <v>80</v>
      </c>
      <c r="Q84" s="16" t="str">
        <f>IF(electric_vehicles_spec_2025_csv[[#This Row],[fast_charging_power_kw_dc]]&lt;50,"0–49 kW",IF(electric_vehicles_spec_2025_csv[[#This Row],[fast_charging_power_kw_dc]]&lt;100,"50–99 kW",IF(electric_vehicles_spec_2025_csv[[#This Row],[fast_charging_power_kw_dc]]&lt;150,"100–149 kW","150+ kW")))</f>
        <v>50–99 kW</v>
      </c>
      <c r="R84" s="16" t="s">
        <v>25</v>
      </c>
      <c r="S84" s="16">
        <v>750</v>
      </c>
      <c r="T84" s="16" t="s">
        <v>248</v>
      </c>
      <c r="U84" s="16">
        <v>7</v>
      </c>
      <c r="V84" s="16" t="s">
        <v>27</v>
      </c>
      <c r="W84" s="16" t="s">
        <v>244</v>
      </c>
      <c r="X84" s="16">
        <v>4753</v>
      </c>
      <c r="Y84" s="16">
        <v>1921</v>
      </c>
      <c r="Z84" s="16">
        <v>1814</v>
      </c>
      <c r="AA84" s="16" t="s">
        <v>245</v>
      </c>
      <c r="AB84" s="16" t="s">
        <v>249</v>
      </c>
    </row>
    <row r="85" spans="1:28" x14ac:dyDescent="0.3">
      <c r="A85" s="16" t="s">
        <v>241</v>
      </c>
      <c r="B85" s="16" t="s">
        <v>250</v>
      </c>
      <c r="C85" s="16">
        <v>135</v>
      </c>
      <c r="D8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85" s="16">
        <v>44</v>
      </c>
      <c r="F85" s="16" t="str">
        <f>IF(electric_vehicles_spec_2025_csv[[#This Row],[battery_capacity_kWh]]&lt;=30, "0–30 kWh", IF(electric_vehicles_spec_2025_csv[[#This Row],[battery_capacity_kWh]]&lt;=60, "31–60 kWh", "61+ kWh"))</f>
        <v>31–60 kWh</v>
      </c>
      <c r="G85" s="16" t="s">
        <v>24</v>
      </c>
      <c r="H85" s="16"/>
      <c r="I85" s="16">
        <v>120</v>
      </c>
      <c r="J85" s="16">
        <v>135</v>
      </c>
      <c r="K85" s="16" t="str">
        <f t="shared" si="1"/>
        <v>131–160 Wh/km</v>
      </c>
      <c r="L85" s="16">
        <v>255</v>
      </c>
      <c r="M85" s="16" t="str">
        <f>IF(electric_vehicles_spec_2025_csv[[#This Row],[range_km]]&lt;=200, "0–200 km",IF(electric_vehicles_spec_2025_csv[[#This Row],[range_km]]&lt;=400, "201–400 km", "401+ km"))</f>
        <v>201–400 km</v>
      </c>
      <c r="N85" s="16">
        <v>11.5</v>
      </c>
      <c r="O85" s="16" t="str">
        <f>IF(electric_vehicles_spec_2025_csv[[#This Row],[acceleration_0_100_s]]&lt;4,"0–3.9 s",IF(electric_vehicles_spec_2025_csv[[#This Row],[acceleration_0_100_s]]&lt;6,"4.0–5.9 s",IF(electric_vehicles_spec_2025_csv[[#This Row],[acceleration_0_100_s]]&lt;8,"6.0–7.9 s","8.0+ s")))</f>
        <v>8.0+ s</v>
      </c>
      <c r="P85" s="16">
        <v>60</v>
      </c>
      <c r="Q85" s="16" t="str">
        <f>IF(electric_vehicles_spec_2025_csv[[#This Row],[fast_charging_power_kw_dc]]&lt;50,"0–49 kW",IF(electric_vehicles_spec_2025_csv[[#This Row],[fast_charging_power_kw_dc]]&lt;100,"50–99 kW",IF(electric_vehicles_spec_2025_csv[[#This Row],[fast_charging_power_kw_dc]]&lt;150,"100–149 kW","150+ kW")))</f>
        <v>50–99 kW</v>
      </c>
      <c r="R85" s="16" t="s">
        <v>25</v>
      </c>
      <c r="S85" s="16">
        <v>550</v>
      </c>
      <c r="T85" s="16" t="s">
        <v>251</v>
      </c>
      <c r="U85" s="16">
        <v>5</v>
      </c>
      <c r="V85" s="16" t="s">
        <v>27</v>
      </c>
      <c r="W85" s="16" t="s">
        <v>28</v>
      </c>
      <c r="X85" s="16">
        <v>4015</v>
      </c>
      <c r="Y85" s="16">
        <v>1755</v>
      </c>
      <c r="Z85" s="16">
        <v>1577</v>
      </c>
      <c r="AA85" s="16" t="s">
        <v>29</v>
      </c>
      <c r="AB85" s="16" t="s">
        <v>252</v>
      </c>
    </row>
    <row r="86" spans="1:28" x14ac:dyDescent="0.3">
      <c r="A86" s="16" t="s">
        <v>241</v>
      </c>
      <c r="B86" s="16" t="s">
        <v>253</v>
      </c>
      <c r="C86" s="16">
        <v>145</v>
      </c>
      <c r="D8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86" s="16">
        <v>44</v>
      </c>
      <c r="F86" s="16" t="str">
        <f>IF(electric_vehicles_spec_2025_csv[[#This Row],[battery_capacity_kWh]]&lt;=30, "0–30 kWh", IF(electric_vehicles_spec_2025_csv[[#This Row],[battery_capacity_kWh]]&lt;=60, "31–60 kWh", "61+ kWh"))</f>
        <v>31–60 kWh</v>
      </c>
      <c r="G86" s="16" t="s">
        <v>24</v>
      </c>
      <c r="H86" s="16"/>
      <c r="I86" s="16">
        <v>125</v>
      </c>
      <c r="J86" s="16">
        <v>144</v>
      </c>
      <c r="K86" s="16" t="str">
        <f t="shared" si="1"/>
        <v>131–160 Wh/km</v>
      </c>
      <c r="L86" s="16">
        <v>240</v>
      </c>
      <c r="M86" s="16" t="str">
        <f>IF(electric_vehicles_spec_2025_csv[[#This Row],[range_km]]&lt;=200, "0–200 km",IF(electric_vehicles_spec_2025_csv[[#This Row],[range_km]]&lt;=400, "201–400 km", "401+ km"))</f>
        <v>201–400 km</v>
      </c>
      <c r="N86" s="16">
        <v>12.9</v>
      </c>
      <c r="O86" s="16" t="str">
        <f>IF(electric_vehicles_spec_2025_csv[[#This Row],[acceleration_0_100_s]]&lt;4,"0–3.9 s",IF(electric_vehicles_spec_2025_csv[[#This Row],[acceleration_0_100_s]]&lt;6,"4.0–5.9 s",IF(electric_vehicles_spec_2025_csv[[#This Row],[acceleration_0_100_s]]&lt;8,"6.0–7.9 s","8.0+ s")))</f>
        <v>8.0+ s</v>
      </c>
      <c r="P86" s="16">
        <v>60</v>
      </c>
      <c r="Q86" s="16" t="str">
        <f>IF(electric_vehicles_spec_2025_csv[[#This Row],[fast_charging_power_kw_dc]]&lt;50,"0–49 kW",IF(electric_vehicles_spec_2025_csv[[#This Row],[fast_charging_power_kw_dc]]&lt;100,"50–99 kW",IF(electric_vehicles_spec_2025_csv[[#This Row],[fast_charging_power_kw_dc]]&lt;150,"100–149 kW","150+ kW")))</f>
        <v>50–99 kW</v>
      </c>
      <c r="R86" s="16" t="s">
        <v>25</v>
      </c>
      <c r="S86" s="16">
        <v>350</v>
      </c>
      <c r="T86" s="16" t="s">
        <v>254</v>
      </c>
      <c r="U86" s="16">
        <v>5</v>
      </c>
      <c r="V86" s="16" t="s">
        <v>27</v>
      </c>
      <c r="W86" s="16" t="s">
        <v>35</v>
      </c>
      <c r="X86" s="16">
        <v>4395</v>
      </c>
      <c r="Y86" s="16">
        <v>1795</v>
      </c>
      <c r="Z86" s="16">
        <v>1660</v>
      </c>
      <c r="AA86" s="16" t="s">
        <v>36</v>
      </c>
      <c r="AB86" s="16" t="s">
        <v>255</v>
      </c>
    </row>
    <row r="87" spans="1:28" x14ac:dyDescent="0.3">
      <c r="A87" s="16" t="s">
        <v>241</v>
      </c>
      <c r="B87" s="16" t="s">
        <v>256</v>
      </c>
      <c r="C87" s="16">
        <v>150</v>
      </c>
      <c r="D8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87" s="16">
        <v>46.3</v>
      </c>
      <c r="F87" s="16" t="str">
        <f>IF(electric_vehicles_spec_2025_csv[[#This Row],[battery_capacity_kWh]]&lt;=30, "0–30 kWh", IF(electric_vehicles_spec_2025_csv[[#This Row],[battery_capacity_kWh]]&lt;=60, "31–60 kWh", "61+ kWh"))</f>
        <v>31–60 kWh</v>
      </c>
      <c r="G87" s="16" t="s">
        <v>24</v>
      </c>
      <c r="H87" s="16">
        <v>216</v>
      </c>
      <c r="I87" s="16">
        <v>260</v>
      </c>
      <c r="J87" s="16">
        <v>135</v>
      </c>
      <c r="K87" s="16" t="str">
        <f t="shared" si="1"/>
        <v>131–160 Wh/km</v>
      </c>
      <c r="L87" s="16">
        <v>285</v>
      </c>
      <c r="M87" s="16" t="str">
        <f>IF(electric_vehicles_spec_2025_csv[[#This Row],[range_km]]&lt;=200, "0–200 km",IF(electric_vehicles_spec_2025_csv[[#This Row],[range_km]]&lt;=400, "201–400 km", "401+ km"))</f>
        <v>201–400 km</v>
      </c>
      <c r="N87" s="16">
        <v>9.9</v>
      </c>
      <c r="O87" s="16" t="str">
        <f>IF(electric_vehicles_spec_2025_csv[[#This Row],[acceleration_0_100_s]]&lt;4,"0–3.9 s",IF(electric_vehicles_spec_2025_csv[[#This Row],[acceleration_0_100_s]]&lt;6,"4.0–5.9 s",IF(electric_vehicles_spec_2025_csv[[#This Row],[acceleration_0_100_s]]&lt;8,"6.0–7.9 s","8.0+ s")))</f>
        <v>8.0+ s</v>
      </c>
      <c r="P87" s="16">
        <v>78</v>
      </c>
      <c r="Q87" s="16" t="str">
        <f>IF(electric_vehicles_spec_2025_csv[[#This Row],[fast_charging_power_kw_dc]]&lt;50,"0–49 kW",IF(electric_vehicles_spec_2025_csv[[#This Row],[fast_charging_power_kw_dc]]&lt;100,"50–99 kW",IF(electric_vehicles_spec_2025_csv[[#This Row],[fast_charging_power_kw_dc]]&lt;150,"100–149 kW","150+ kW")))</f>
        <v>50–99 kW</v>
      </c>
      <c r="R87" s="16" t="s">
        <v>25</v>
      </c>
      <c r="S87" s="16">
        <v>0</v>
      </c>
      <c r="T87" s="16" t="s">
        <v>257</v>
      </c>
      <c r="U87" s="16">
        <v>5</v>
      </c>
      <c r="V87" s="16" t="s">
        <v>27</v>
      </c>
      <c r="W87" s="16" t="s">
        <v>190</v>
      </c>
      <c r="X87" s="16">
        <v>4360</v>
      </c>
      <c r="Y87" s="16">
        <v>1834</v>
      </c>
      <c r="Z87" s="16">
        <v>1525</v>
      </c>
      <c r="AA87" s="16" t="s">
        <v>29</v>
      </c>
      <c r="AB87" s="16" t="s">
        <v>258</v>
      </c>
    </row>
    <row r="88" spans="1:28" x14ac:dyDescent="0.3">
      <c r="A88" s="16" t="s">
        <v>241</v>
      </c>
      <c r="B88" s="16" t="s">
        <v>259</v>
      </c>
      <c r="C88" s="16">
        <v>150</v>
      </c>
      <c r="D8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88" s="16">
        <v>50.8</v>
      </c>
      <c r="F88" s="16" t="str">
        <f>IF(electric_vehicles_spec_2025_csv[[#This Row],[battery_capacity_kWh]]&lt;=30, "0–30 kWh", IF(electric_vehicles_spec_2025_csv[[#This Row],[battery_capacity_kWh]]&lt;=60, "31–60 kWh", "61+ kWh"))</f>
        <v>31–60 kWh</v>
      </c>
      <c r="G88" s="16" t="s">
        <v>24</v>
      </c>
      <c r="H88" s="16">
        <v>102</v>
      </c>
      <c r="I88" s="16">
        <v>260</v>
      </c>
      <c r="J88" s="16">
        <v>122</v>
      </c>
      <c r="K88" s="16" t="str">
        <f t="shared" si="1"/>
        <v>0–130 Wh/km</v>
      </c>
      <c r="L88" s="16">
        <v>325</v>
      </c>
      <c r="M88" s="16" t="str">
        <f>IF(electric_vehicles_spec_2025_csv[[#This Row],[range_km]]&lt;=200, "0–200 km",IF(electric_vehicles_spec_2025_csv[[#This Row],[range_km]]&lt;=400, "201–400 km", "401+ km"))</f>
        <v>201–400 km</v>
      </c>
      <c r="N88" s="16">
        <v>9.1</v>
      </c>
      <c r="O88" s="16" t="str">
        <f>IF(electric_vehicles_spec_2025_csv[[#This Row],[acceleration_0_100_s]]&lt;4,"0–3.9 s",IF(electric_vehicles_spec_2025_csv[[#This Row],[acceleration_0_100_s]]&lt;6,"4.0–5.9 s",IF(electric_vehicles_spec_2025_csv[[#This Row],[acceleration_0_100_s]]&lt;8,"6.0–7.9 s","8.0+ s")))</f>
        <v>8.0+ s</v>
      </c>
      <c r="P88" s="16">
        <v>78</v>
      </c>
      <c r="Q88" s="16" t="str">
        <f>IF(electric_vehicles_spec_2025_csv[[#This Row],[fast_charging_power_kw_dc]]&lt;50,"0–49 kW",IF(electric_vehicles_spec_2025_csv[[#This Row],[fast_charging_power_kw_dc]]&lt;100,"50–99 kW",IF(electric_vehicles_spec_2025_csv[[#This Row],[fast_charging_power_kw_dc]]&lt;150,"100–149 kW","150+ kW")))</f>
        <v>50–99 kW</v>
      </c>
      <c r="R88" s="16" t="s">
        <v>25</v>
      </c>
      <c r="S88" s="16">
        <v>0</v>
      </c>
      <c r="T88" s="16" t="s">
        <v>257</v>
      </c>
      <c r="U88" s="16">
        <v>5</v>
      </c>
      <c r="V88" s="16" t="s">
        <v>27</v>
      </c>
      <c r="W88" s="16" t="s">
        <v>190</v>
      </c>
      <c r="X88" s="16">
        <v>4360</v>
      </c>
      <c r="Y88" s="16">
        <v>1834</v>
      </c>
      <c r="Z88" s="16">
        <v>1525</v>
      </c>
      <c r="AA88" s="16" t="s">
        <v>29</v>
      </c>
      <c r="AB88" s="16" t="s">
        <v>260</v>
      </c>
    </row>
    <row r="89" spans="1:28" x14ac:dyDescent="0.3">
      <c r="A89" s="16" t="s">
        <v>241</v>
      </c>
      <c r="B89" s="16" t="s">
        <v>261</v>
      </c>
      <c r="C89" s="16">
        <v>150</v>
      </c>
      <c r="D8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89" s="16">
        <v>46.3</v>
      </c>
      <c r="F89" s="16" t="str">
        <f>IF(electric_vehicles_spec_2025_csv[[#This Row],[battery_capacity_kWh]]&lt;=30, "0–30 kWh", IF(electric_vehicles_spec_2025_csv[[#This Row],[battery_capacity_kWh]]&lt;=60, "31–60 kWh", "61+ kWh"))</f>
        <v>31–60 kWh</v>
      </c>
      <c r="G89" s="16" t="s">
        <v>24</v>
      </c>
      <c r="H89" s="16">
        <v>216</v>
      </c>
      <c r="I89" s="16">
        <v>260</v>
      </c>
      <c r="J89" s="16">
        <v>132</v>
      </c>
      <c r="K89" s="16" t="str">
        <f t="shared" si="1"/>
        <v>131–160 Wh/km</v>
      </c>
      <c r="L89" s="16">
        <v>290</v>
      </c>
      <c r="M89" s="16" t="str">
        <f>IF(electric_vehicles_spec_2025_csv[[#This Row],[range_km]]&lt;=200, "0–200 km",IF(electric_vehicles_spec_2025_csv[[#This Row],[range_km]]&lt;=400, "201–400 km", "401+ km"))</f>
        <v>201–400 km</v>
      </c>
      <c r="N89" s="16">
        <v>9.9</v>
      </c>
      <c r="O89" s="16" t="str">
        <f>IF(electric_vehicles_spec_2025_csv[[#This Row],[acceleration_0_100_s]]&lt;4,"0–3.9 s",IF(electric_vehicles_spec_2025_csv[[#This Row],[acceleration_0_100_s]]&lt;6,"4.0–5.9 s",IF(electric_vehicles_spec_2025_csv[[#This Row],[acceleration_0_100_s]]&lt;8,"6.0–7.9 s","8.0+ s")))</f>
        <v>8.0+ s</v>
      </c>
      <c r="P89" s="16">
        <v>78</v>
      </c>
      <c r="Q89" s="16" t="str">
        <f>IF(electric_vehicles_spec_2025_csv[[#This Row],[fast_charging_power_kw_dc]]&lt;50,"0–49 kW",IF(electric_vehicles_spec_2025_csv[[#This Row],[fast_charging_power_kw_dc]]&lt;100,"50–99 kW",IF(electric_vehicles_spec_2025_csv[[#This Row],[fast_charging_power_kw_dc]]&lt;150,"100–149 kW","150+ kW")))</f>
        <v>50–99 kW</v>
      </c>
      <c r="R89" s="16" t="s">
        <v>25</v>
      </c>
      <c r="S89" s="16">
        <v>0</v>
      </c>
      <c r="T89" s="16" t="s">
        <v>262</v>
      </c>
      <c r="U89" s="16">
        <v>5</v>
      </c>
      <c r="V89" s="16" t="s">
        <v>27</v>
      </c>
      <c r="W89" s="16" t="s">
        <v>190</v>
      </c>
      <c r="X89" s="16">
        <v>4600</v>
      </c>
      <c r="Y89" s="16">
        <v>1834</v>
      </c>
      <c r="Z89" s="16">
        <v>1525</v>
      </c>
      <c r="AA89" s="16" t="s">
        <v>125</v>
      </c>
      <c r="AB89" s="16" t="s">
        <v>263</v>
      </c>
    </row>
    <row r="90" spans="1:28" x14ac:dyDescent="0.3">
      <c r="A90" s="16" t="s">
        <v>241</v>
      </c>
      <c r="B90" s="16" t="s">
        <v>264</v>
      </c>
      <c r="C90" s="16">
        <v>150</v>
      </c>
      <c r="D9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90" s="16">
        <v>50.8</v>
      </c>
      <c r="F90" s="16" t="str">
        <f>IF(electric_vehicles_spec_2025_csv[[#This Row],[battery_capacity_kWh]]&lt;=30, "0–30 kWh", IF(electric_vehicles_spec_2025_csv[[#This Row],[battery_capacity_kWh]]&lt;=60, "31–60 kWh", "61+ kWh"))</f>
        <v>31–60 kWh</v>
      </c>
      <c r="G90" s="16" t="s">
        <v>24</v>
      </c>
      <c r="H90" s="16">
        <v>102</v>
      </c>
      <c r="I90" s="16">
        <v>260</v>
      </c>
      <c r="J90" s="16">
        <v>119</v>
      </c>
      <c r="K90" s="16" t="str">
        <f t="shared" si="1"/>
        <v>0–130 Wh/km</v>
      </c>
      <c r="L90" s="16">
        <v>335</v>
      </c>
      <c r="M90" s="16" t="str">
        <f>IF(electric_vehicles_spec_2025_csv[[#This Row],[range_km]]&lt;=200, "0–200 km",IF(electric_vehicles_spec_2025_csv[[#This Row],[range_km]]&lt;=400, "201–400 km", "401+ km"))</f>
        <v>201–400 km</v>
      </c>
      <c r="N90" s="16">
        <v>9.1</v>
      </c>
      <c r="O90" s="16" t="str">
        <f>IF(electric_vehicles_spec_2025_csv[[#This Row],[acceleration_0_100_s]]&lt;4,"0–3.9 s",IF(electric_vehicles_spec_2025_csv[[#This Row],[acceleration_0_100_s]]&lt;6,"4.0–5.9 s",IF(electric_vehicles_spec_2025_csv[[#This Row],[acceleration_0_100_s]]&lt;8,"6.0–7.9 s","8.0+ s")))</f>
        <v>8.0+ s</v>
      </c>
      <c r="P90" s="16">
        <v>78</v>
      </c>
      <c r="Q90" s="16" t="str">
        <f>IF(electric_vehicles_spec_2025_csv[[#This Row],[fast_charging_power_kw_dc]]&lt;50,"0–49 kW",IF(electric_vehicles_spec_2025_csv[[#This Row],[fast_charging_power_kw_dc]]&lt;100,"50–99 kW",IF(electric_vehicles_spec_2025_csv[[#This Row],[fast_charging_power_kw_dc]]&lt;150,"100–149 kW","150+ kW")))</f>
        <v>50–99 kW</v>
      </c>
      <c r="R90" s="16" t="s">
        <v>25</v>
      </c>
      <c r="S90" s="16">
        <v>0</v>
      </c>
      <c r="T90" s="16" t="s">
        <v>262</v>
      </c>
      <c r="U90" s="16">
        <v>5</v>
      </c>
      <c r="V90" s="16" t="s">
        <v>27</v>
      </c>
      <c r="W90" s="16" t="s">
        <v>190</v>
      </c>
      <c r="X90" s="16">
        <v>4600</v>
      </c>
      <c r="Y90" s="16">
        <v>1834</v>
      </c>
      <c r="Z90" s="16">
        <v>1525</v>
      </c>
      <c r="AA90" s="16" t="s">
        <v>125</v>
      </c>
      <c r="AB90" s="16" t="s">
        <v>265</v>
      </c>
    </row>
    <row r="91" spans="1:28" x14ac:dyDescent="0.3">
      <c r="A91" s="16" t="s">
        <v>241</v>
      </c>
      <c r="B91" s="16" t="s">
        <v>266</v>
      </c>
      <c r="C91" s="16">
        <v>130</v>
      </c>
      <c r="D9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91" s="16">
        <v>46.3</v>
      </c>
      <c r="F91" s="16" t="str">
        <f>IF(electric_vehicles_spec_2025_csv[[#This Row],[battery_capacity_kWh]]&lt;=30, "0–30 kWh", IF(electric_vehicles_spec_2025_csv[[#This Row],[battery_capacity_kWh]]&lt;=60, "31–60 kWh", "61+ kWh"))</f>
        <v>31–60 kWh</v>
      </c>
      <c r="G91" s="16" t="s">
        <v>24</v>
      </c>
      <c r="H91" s="16">
        <v>216</v>
      </c>
      <c r="I91" s="16">
        <v>220</v>
      </c>
      <c r="J91" s="16">
        <v>217</v>
      </c>
      <c r="K91" s="16" t="str">
        <f t="shared" si="1"/>
        <v>161+ Wh/km</v>
      </c>
      <c r="L91" s="16">
        <v>180</v>
      </c>
      <c r="M91" s="16" t="str">
        <f>IF(electric_vehicles_spec_2025_csv[[#This Row],[range_km]]&lt;=200, "0–200 km",IF(electric_vehicles_spec_2025_csv[[#This Row],[range_km]]&lt;=400, "201–400 km", "401+ km"))</f>
        <v>0–200 km</v>
      </c>
      <c r="N91" s="16">
        <v>13.3</v>
      </c>
      <c r="O91" s="16" t="str">
        <f>IF(electric_vehicles_spec_2025_csv[[#This Row],[acceleration_0_100_s]]&lt;4,"0–3.9 s",IF(electric_vehicles_spec_2025_csv[[#This Row],[acceleration_0_100_s]]&lt;6,"4.0–5.9 s",IF(electric_vehicles_spec_2025_csv[[#This Row],[acceleration_0_100_s]]&lt;8,"6.0–7.9 s","8.0+ s")))</f>
        <v>8.0+ s</v>
      </c>
      <c r="P91" s="16">
        <v>78</v>
      </c>
      <c r="Q91" s="16" t="str">
        <f>IF(electric_vehicles_spec_2025_csv[[#This Row],[fast_charging_power_kw_dc]]&lt;50,"0–49 kW",IF(electric_vehicles_spec_2025_csv[[#This Row],[fast_charging_power_kw_dc]]&lt;100,"50–99 kW",IF(electric_vehicles_spec_2025_csv[[#This Row],[fast_charging_power_kw_dc]]&lt;150,"100–149 kW","150+ kW")))</f>
        <v>50–99 kW</v>
      </c>
      <c r="R91" s="16" t="s">
        <v>25</v>
      </c>
      <c r="S91" s="16">
        <v>1000</v>
      </c>
      <c r="T91" s="16" t="s">
        <v>267</v>
      </c>
      <c r="U91" s="16">
        <v>9</v>
      </c>
      <c r="V91" s="16" t="s">
        <v>27</v>
      </c>
      <c r="W91" s="16" t="s">
        <v>244</v>
      </c>
      <c r="X91" s="16">
        <v>4983</v>
      </c>
      <c r="Y91" s="16">
        <v>1920</v>
      </c>
      <c r="Z91" s="16">
        <v>1890</v>
      </c>
      <c r="AA91" s="16" t="s">
        <v>245</v>
      </c>
      <c r="AB91" s="16" t="s">
        <v>268</v>
      </c>
    </row>
    <row r="92" spans="1:28" x14ac:dyDescent="0.3">
      <c r="A92" s="16" t="s">
        <v>241</v>
      </c>
      <c r="B92" s="16" t="s">
        <v>269</v>
      </c>
      <c r="C92" s="16">
        <v>130</v>
      </c>
      <c r="D9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92" s="16">
        <v>68</v>
      </c>
      <c r="F92" s="16" t="str">
        <f>IF(electric_vehicles_spec_2025_csv[[#This Row],[battery_capacity_kWh]]&lt;=30, "0–30 kWh", IF(electric_vehicles_spec_2025_csv[[#This Row],[battery_capacity_kWh]]&lt;=60, "31–60 kWh", "61+ kWh"))</f>
        <v>61+ kWh</v>
      </c>
      <c r="G92" s="16" t="s">
        <v>24</v>
      </c>
      <c r="H92" s="16">
        <v>324</v>
      </c>
      <c r="I92" s="16">
        <v>220</v>
      </c>
      <c r="J92" s="16">
        <v>202</v>
      </c>
      <c r="K92" s="16" t="str">
        <f t="shared" si="1"/>
        <v>161+ Wh/km</v>
      </c>
      <c r="L92" s="16">
        <v>260</v>
      </c>
      <c r="M92" s="16" t="str">
        <f>IF(electric_vehicles_spec_2025_csv[[#This Row],[range_km]]&lt;=200, "0–200 km",IF(electric_vehicles_spec_2025_csv[[#This Row],[range_km]]&lt;=400, "201–400 km", "401+ km"))</f>
        <v>201–400 km</v>
      </c>
      <c r="N92" s="16">
        <v>14.2</v>
      </c>
      <c r="O92" s="16" t="str">
        <f>IF(electric_vehicles_spec_2025_csv[[#This Row],[acceleration_0_100_s]]&lt;4,"0–3.9 s",IF(electric_vehicles_spec_2025_csv[[#This Row],[acceleration_0_100_s]]&lt;6,"4.0–5.9 s",IF(electric_vehicles_spec_2025_csv[[#This Row],[acceleration_0_100_s]]&lt;8,"6.0–7.9 s","8.0+ s")))</f>
        <v>8.0+ s</v>
      </c>
      <c r="P92" s="16">
        <v>79</v>
      </c>
      <c r="Q92" s="16" t="str">
        <f>IF(electric_vehicles_spec_2025_csv[[#This Row],[fast_charging_power_kw_dc]]&lt;50,"0–49 kW",IF(electric_vehicles_spec_2025_csv[[#This Row],[fast_charging_power_kw_dc]]&lt;100,"50–99 kW",IF(electric_vehicles_spec_2025_csv[[#This Row],[fast_charging_power_kw_dc]]&lt;150,"100–149 kW","150+ kW")))</f>
        <v>50–99 kW</v>
      </c>
      <c r="R92" s="16" t="s">
        <v>25</v>
      </c>
      <c r="S92" s="16">
        <v>1000</v>
      </c>
      <c r="T92" s="16" t="s">
        <v>267</v>
      </c>
      <c r="U92" s="16">
        <v>9</v>
      </c>
      <c r="V92" s="16" t="s">
        <v>27</v>
      </c>
      <c r="W92" s="16" t="s">
        <v>244</v>
      </c>
      <c r="X92" s="16">
        <v>4983</v>
      </c>
      <c r="Y92" s="16">
        <v>1920</v>
      </c>
      <c r="Z92" s="16">
        <v>1890</v>
      </c>
      <c r="AA92" s="16" t="s">
        <v>245</v>
      </c>
      <c r="AB92" s="16" t="s">
        <v>270</v>
      </c>
    </row>
    <row r="93" spans="1:28" x14ac:dyDescent="0.3">
      <c r="A93" s="16" t="s">
        <v>241</v>
      </c>
      <c r="B93" s="16" t="s">
        <v>271</v>
      </c>
      <c r="C93" s="16">
        <v>130</v>
      </c>
      <c r="D9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93" s="16">
        <v>46.3</v>
      </c>
      <c r="F93" s="16" t="str">
        <f>IF(electric_vehicles_spec_2025_csv[[#This Row],[battery_capacity_kWh]]&lt;=30, "0–30 kWh", IF(electric_vehicles_spec_2025_csv[[#This Row],[battery_capacity_kWh]]&lt;=60, "31–60 kWh", "61+ kWh"))</f>
        <v>31–60 kWh</v>
      </c>
      <c r="G93" s="16" t="s">
        <v>24</v>
      </c>
      <c r="H93" s="16">
        <v>216</v>
      </c>
      <c r="I93" s="16">
        <v>220</v>
      </c>
      <c r="J93" s="16">
        <v>219</v>
      </c>
      <c r="K93" s="16" t="str">
        <f t="shared" si="1"/>
        <v>161+ Wh/km</v>
      </c>
      <c r="L93" s="16">
        <v>180</v>
      </c>
      <c r="M93" s="16" t="str">
        <f>IF(electric_vehicles_spec_2025_csv[[#This Row],[range_km]]&lt;=200, "0–200 km",IF(electric_vehicles_spec_2025_csv[[#This Row],[range_km]]&lt;=400, "201–400 km", "401+ km"))</f>
        <v>0–200 km</v>
      </c>
      <c r="N93" s="16">
        <v>13.3</v>
      </c>
      <c r="O93" s="16" t="str">
        <f>IF(electric_vehicles_spec_2025_csv[[#This Row],[acceleration_0_100_s]]&lt;4,"0–3.9 s",IF(electric_vehicles_spec_2025_csv[[#This Row],[acceleration_0_100_s]]&lt;6,"4.0–5.9 s",IF(electric_vehicles_spec_2025_csv[[#This Row],[acceleration_0_100_s]]&lt;8,"6.0–7.9 s","8.0+ s")))</f>
        <v>8.0+ s</v>
      </c>
      <c r="P93" s="16">
        <v>78</v>
      </c>
      <c r="Q93" s="16" t="str">
        <f>IF(electric_vehicles_spec_2025_csv[[#This Row],[fast_charging_power_kw_dc]]&lt;50,"0–49 kW",IF(electric_vehicles_spec_2025_csv[[#This Row],[fast_charging_power_kw_dc]]&lt;100,"50–99 kW",IF(electric_vehicles_spec_2025_csv[[#This Row],[fast_charging_power_kw_dc]]&lt;150,"100–149 kW","150+ kW")))</f>
        <v>50–99 kW</v>
      </c>
      <c r="R93" s="16" t="s">
        <v>25</v>
      </c>
      <c r="S93" s="16">
        <v>1000</v>
      </c>
      <c r="T93" s="16" t="s">
        <v>272</v>
      </c>
      <c r="U93" s="16">
        <v>9</v>
      </c>
      <c r="V93" s="16" t="s">
        <v>27</v>
      </c>
      <c r="W93" s="16" t="s">
        <v>244</v>
      </c>
      <c r="X93" s="16">
        <v>5333</v>
      </c>
      <c r="Y93" s="16">
        <v>1920</v>
      </c>
      <c r="Z93" s="16">
        <v>1890</v>
      </c>
      <c r="AA93" s="16" t="s">
        <v>245</v>
      </c>
      <c r="AB93" s="16" t="s">
        <v>273</v>
      </c>
    </row>
    <row r="94" spans="1:28" x14ac:dyDescent="0.3">
      <c r="A94" s="16" t="s">
        <v>241</v>
      </c>
      <c r="B94" s="16" t="s">
        <v>274</v>
      </c>
      <c r="C94" s="16">
        <v>130</v>
      </c>
      <c r="D9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94" s="16">
        <v>68</v>
      </c>
      <c r="F94" s="16" t="str">
        <f>IF(electric_vehicles_spec_2025_csv[[#This Row],[battery_capacity_kWh]]&lt;=30, "0–30 kWh", IF(electric_vehicles_spec_2025_csv[[#This Row],[battery_capacity_kWh]]&lt;=60, "31–60 kWh", "61+ kWh"))</f>
        <v>61+ kWh</v>
      </c>
      <c r="G94" s="16" t="s">
        <v>24</v>
      </c>
      <c r="H94" s="16">
        <v>324</v>
      </c>
      <c r="I94" s="16">
        <v>220</v>
      </c>
      <c r="J94" s="16">
        <v>204</v>
      </c>
      <c r="K94" s="16" t="str">
        <f t="shared" si="1"/>
        <v>161+ Wh/km</v>
      </c>
      <c r="L94" s="16">
        <v>260</v>
      </c>
      <c r="M94" s="16" t="str">
        <f>IF(electric_vehicles_spec_2025_csv[[#This Row],[range_km]]&lt;=200, "0–200 km",IF(electric_vehicles_spec_2025_csv[[#This Row],[range_km]]&lt;=400, "201–400 km", "401+ km"))</f>
        <v>201–400 km</v>
      </c>
      <c r="N94" s="16">
        <v>14.2</v>
      </c>
      <c r="O94" s="16" t="str">
        <f>IF(electric_vehicles_spec_2025_csv[[#This Row],[acceleration_0_100_s]]&lt;4,"0–3.9 s",IF(electric_vehicles_spec_2025_csv[[#This Row],[acceleration_0_100_s]]&lt;6,"4.0–5.9 s",IF(electric_vehicles_spec_2025_csv[[#This Row],[acceleration_0_100_s]]&lt;8,"6.0–7.9 s","8.0+ s")))</f>
        <v>8.0+ s</v>
      </c>
      <c r="P94" s="16">
        <v>79</v>
      </c>
      <c r="Q94" s="16" t="str">
        <f>IF(electric_vehicles_spec_2025_csv[[#This Row],[fast_charging_power_kw_dc]]&lt;50,"0–49 kW",IF(electric_vehicles_spec_2025_csv[[#This Row],[fast_charging_power_kw_dc]]&lt;100,"50–99 kW",IF(electric_vehicles_spec_2025_csv[[#This Row],[fast_charging_power_kw_dc]]&lt;150,"100–149 kW","150+ kW")))</f>
        <v>50–99 kW</v>
      </c>
      <c r="R94" s="16" t="s">
        <v>25</v>
      </c>
      <c r="S94" s="16">
        <v>1000</v>
      </c>
      <c r="T94" s="16" t="s">
        <v>272</v>
      </c>
      <c r="U94" s="16">
        <v>9</v>
      </c>
      <c r="V94" s="16" t="s">
        <v>27</v>
      </c>
      <c r="W94" s="16" t="s">
        <v>244</v>
      </c>
      <c r="X94" s="16">
        <v>5333</v>
      </c>
      <c r="Y94" s="16">
        <v>1920</v>
      </c>
      <c r="Z94" s="16">
        <v>1890</v>
      </c>
      <c r="AA94" s="16" t="s">
        <v>245</v>
      </c>
      <c r="AB94" s="16" t="s">
        <v>275</v>
      </c>
    </row>
    <row r="95" spans="1:28" x14ac:dyDescent="0.3">
      <c r="A95" s="16" t="s">
        <v>276</v>
      </c>
      <c r="B95" s="16" t="s">
        <v>277</v>
      </c>
      <c r="C95" s="16">
        <v>150</v>
      </c>
      <c r="D9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95" s="16">
        <v>50.8</v>
      </c>
      <c r="F95" s="16" t="str">
        <f>IF(electric_vehicles_spec_2025_csv[[#This Row],[battery_capacity_kWh]]&lt;=30, "0–30 kWh", IF(electric_vehicles_spec_2025_csv[[#This Row],[battery_capacity_kWh]]&lt;=60, "31–60 kWh", "61+ kWh"))</f>
        <v>31–60 kWh</v>
      </c>
      <c r="G95" s="16" t="s">
        <v>24</v>
      </c>
      <c r="H95" s="16">
        <v>102</v>
      </c>
      <c r="I95" s="16">
        <v>260</v>
      </c>
      <c r="J95" s="16">
        <v>128</v>
      </c>
      <c r="K95" s="16" t="str">
        <f t="shared" si="1"/>
        <v>0–130 Wh/km</v>
      </c>
      <c r="L95" s="16">
        <v>300</v>
      </c>
      <c r="M95" s="16" t="str">
        <f>IF(electric_vehicles_spec_2025_csv[[#This Row],[range_km]]&lt;=200, "0–200 km",IF(electric_vehicles_spec_2025_csv[[#This Row],[range_km]]&lt;=400, "201–400 km", "401+ km"))</f>
        <v>201–400 km</v>
      </c>
      <c r="N95" s="16">
        <v>9</v>
      </c>
      <c r="O95" s="16" t="str">
        <f>IF(electric_vehicles_spec_2025_csv[[#This Row],[acceleration_0_100_s]]&lt;4,"0–3.9 s",IF(electric_vehicles_spec_2025_csv[[#This Row],[acceleration_0_100_s]]&lt;6,"4.0–5.9 s",IF(electric_vehicles_spec_2025_csv[[#This Row],[acceleration_0_100_s]]&lt;8,"6.0–7.9 s","8.0+ s")))</f>
        <v>8.0+ s</v>
      </c>
      <c r="P95" s="16">
        <v>85</v>
      </c>
      <c r="Q95" s="16" t="str">
        <f>IF(electric_vehicles_spec_2025_csv[[#This Row],[fast_charging_power_kw_dc]]&lt;50,"0–49 kW",IF(electric_vehicles_spec_2025_csv[[#This Row],[fast_charging_power_kw_dc]]&lt;100,"50–99 kW",IF(electric_vehicles_spec_2025_csv[[#This Row],[fast_charging_power_kw_dc]]&lt;150,"100–149 kW","150+ kW")))</f>
        <v>50–99 kW</v>
      </c>
      <c r="R95" s="16" t="s">
        <v>25</v>
      </c>
      <c r="S95" s="16">
        <v>0</v>
      </c>
      <c r="T95" s="16" t="s">
        <v>123</v>
      </c>
      <c r="U95" s="16">
        <v>5</v>
      </c>
      <c r="V95" s="16" t="s">
        <v>27</v>
      </c>
      <c r="W95" s="16" t="s">
        <v>35</v>
      </c>
      <c r="X95" s="16">
        <v>4118</v>
      </c>
      <c r="Y95" s="16">
        <v>1802</v>
      </c>
      <c r="Z95" s="16">
        <v>1534</v>
      </c>
      <c r="AA95" s="16" t="s">
        <v>36</v>
      </c>
      <c r="AB95" s="16" t="s">
        <v>278</v>
      </c>
    </row>
    <row r="96" spans="1:28" x14ac:dyDescent="0.3">
      <c r="A96" s="16" t="s">
        <v>276</v>
      </c>
      <c r="B96" s="16" t="s">
        <v>279</v>
      </c>
      <c r="C96" s="16">
        <v>160</v>
      </c>
      <c r="D9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96" s="16">
        <v>58.3</v>
      </c>
      <c r="F96" s="16" t="str">
        <f>IF(electric_vehicles_spec_2025_csv[[#This Row],[battery_capacity_kWh]]&lt;=30, "0–30 kWh", IF(electric_vehicles_spec_2025_csv[[#This Row],[battery_capacity_kWh]]&lt;=60, "31–60 kWh", "61+ kWh"))</f>
        <v>31–60 kWh</v>
      </c>
      <c r="G96" s="16" t="s">
        <v>24</v>
      </c>
      <c r="H96" s="16"/>
      <c r="I96" s="16">
        <v>345</v>
      </c>
      <c r="J96" s="16">
        <v>130</v>
      </c>
      <c r="K96" s="16" t="str">
        <f t="shared" si="1"/>
        <v>0–130 Wh/km</v>
      </c>
      <c r="L96" s="16">
        <v>375</v>
      </c>
      <c r="M96" s="16" t="str">
        <f>IF(electric_vehicles_spec_2025_csv[[#This Row],[range_km]]&lt;=200, "0–200 km",IF(electric_vehicles_spec_2025_csv[[#This Row],[range_km]]&lt;=400, "201–400 km", "401+ km"))</f>
        <v>201–400 km</v>
      </c>
      <c r="N96" s="16">
        <v>7.1</v>
      </c>
      <c r="O96" s="16" t="str">
        <f>IF(electric_vehicles_spec_2025_csv[[#This Row],[acceleration_0_100_s]]&lt;4,"0–3.9 s",IF(electric_vehicles_spec_2025_csv[[#This Row],[acceleration_0_100_s]]&lt;6,"4.0–5.9 s",IF(electric_vehicles_spec_2025_csv[[#This Row],[acceleration_0_100_s]]&lt;8,"6.0–7.9 s","8.0+ s")))</f>
        <v>6.0–7.9 s</v>
      </c>
      <c r="P96" s="16">
        <v>70</v>
      </c>
      <c r="Q96" s="16" t="str">
        <f>IF(electric_vehicles_spec_2025_csv[[#This Row],[fast_charging_power_kw_dc]]&lt;50,"0–49 kW",IF(electric_vehicles_spec_2025_csv[[#This Row],[fast_charging_power_kw_dc]]&lt;100,"50–99 kW",IF(electric_vehicles_spec_2025_csv[[#This Row],[fast_charging_power_kw_dc]]&lt;150,"100–149 kW","150+ kW")))</f>
        <v>50–99 kW</v>
      </c>
      <c r="R96" s="16" t="s">
        <v>25</v>
      </c>
      <c r="S96" s="16">
        <v>0</v>
      </c>
      <c r="T96" s="16" t="s">
        <v>280</v>
      </c>
      <c r="U96" s="16">
        <v>5</v>
      </c>
      <c r="V96" s="16" t="s">
        <v>27</v>
      </c>
      <c r="W96" s="16" t="s">
        <v>43</v>
      </c>
      <c r="X96" s="16">
        <v>4400</v>
      </c>
      <c r="Y96" s="16">
        <v>1866</v>
      </c>
      <c r="Z96" s="16">
        <v>1470</v>
      </c>
      <c r="AA96" s="16" t="s">
        <v>29</v>
      </c>
      <c r="AB96" s="16" t="s">
        <v>281</v>
      </c>
    </row>
    <row r="97" spans="1:28" x14ac:dyDescent="0.3">
      <c r="A97" s="16" t="s">
        <v>276</v>
      </c>
      <c r="B97" s="16" t="s">
        <v>282</v>
      </c>
      <c r="C97" s="16">
        <v>190</v>
      </c>
      <c r="D9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97" s="16">
        <v>97.2</v>
      </c>
      <c r="F97" s="16" t="str">
        <f>IF(electric_vehicles_spec_2025_csv[[#This Row],[battery_capacity_kWh]]&lt;=30, "0–30 kWh", IF(electric_vehicles_spec_2025_csv[[#This Row],[battery_capacity_kWh]]&lt;=60, "31–60 kWh", "61+ kWh"))</f>
        <v>61+ kWh</v>
      </c>
      <c r="G97" s="16" t="s">
        <v>24</v>
      </c>
      <c r="H97" s="16"/>
      <c r="I97" s="16">
        <v>511</v>
      </c>
      <c r="J97" s="16">
        <v>146</v>
      </c>
      <c r="K97" s="16" t="str">
        <f t="shared" si="1"/>
        <v>131–160 Wh/km</v>
      </c>
      <c r="L97" s="16">
        <v>530</v>
      </c>
      <c r="M97" s="16" t="str">
        <f>IF(electric_vehicles_spec_2025_csv[[#This Row],[range_km]]&lt;=200, "0–200 km",IF(electric_vehicles_spec_2025_csv[[#This Row],[range_km]]&lt;=400, "201–400 km", "401+ km"))</f>
        <v>401+ km</v>
      </c>
      <c r="N97" s="16">
        <v>5.4</v>
      </c>
      <c r="O97" s="16" t="str">
        <f>IF(electric_vehicles_spec_2025_csv[[#This Row],[acceleration_0_100_s]]&lt;4,"0–3.9 s",IF(electric_vehicles_spec_2025_csv[[#This Row],[acceleration_0_100_s]]&lt;6,"4.0–5.9 s",IF(electric_vehicles_spec_2025_csv[[#This Row],[acceleration_0_100_s]]&lt;8,"6.0–7.9 s","8.0+ s")))</f>
        <v>4.0–5.9 s</v>
      </c>
      <c r="P97" s="16">
        <v>130</v>
      </c>
      <c r="Q97" s="16" t="str">
        <f>IF(electric_vehicles_spec_2025_csv[[#This Row],[fast_charging_power_kw_dc]]&lt;50,"0–49 kW",IF(electric_vehicles_spec_2025_csv[[#This Row],[fast_charging_power_kw_dc]]&lt;100,"50–99 kW",IF(electric_vehicles_spec_2025_csv[[#This Row],[fast_charging_power_kw_dc]]&lt;150,"100–149 kW","150+ kW")))</f>
        <v>100–149 kW</v>
      </c>
      <c r="R97" s="16" t="s">
        <v>25</v>
      </c>
      <c r="S97" s="16">
        <v>1400</v>
      </c>
      <c r="T97" s="16" t="s">
        <v>283</v>
      </c>
      <c r="U97" s="16">
        <v>5</v>
      </c>
      <c r="V97" s="16" t="s">
        <v>70</v>
      </c>
      <c r="W97" s="16" t="s">
        <v>99</v>
      </c>
      <c r="X97" s="16">
        <v>4834</v>
      </c>
      <c r="Y97" s="16">
        <v>1920</v>
      </c>
      <c r="Z97" s="16">
        <v>1574</v>
      </c>
      <c r="AA97" s="16" t="s">
        <v>36</v>
      </c>
      <c r="AB97" s="16" t="s">
        <v>284</v>
      </c>
    </row>
    <row r="98" spans="1:28" x14ac:dyDescent="0.3">
      <c r="A98" s="16" t="s">
        <v>276</v>
      </c>
      <c r="B98" s="16" t="s">
        <v>285</v>
      </c>
      <c r="C98" s="16">
        <v>190</v>
      </c>
      <c r="D9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98" s="16">
        <v>73.7</v>
      </c>
      <c r="F98" s="16" t="str">
        <f>IF(electric_vehicles_spec_2025_csv[[#This Row],[battery_capacity_kWh]]&lt;=30, "0–30 kWh", IF(electric_vehicles_spec_2025_csv[[#This Row],[battery_capacity_kWh]]&lt;=60, "31–60 kWh", "61+ kWh"))</f>
        <v>61+ kWh</v>
      </c>
      <c r="G98" s="16" t="s">
        <v>24</v>
      </c>
      <c r="H98" s="16"/>
      <c r="I98" s="16">
        <v>345</v>
      </c>
      <c r="J98" s="16">
        <v>141</v>
      </c>
      <c r="K98" s="16" t="str">
        <f t="shared" si="1"/>
        <v>131–160 Wh/km</v>
      </c>
      <c r="L98" s="16">
        <v>415</v>
      </c>
      <c r="M98" s="16" t="str">
        <f>IF(electric_vehicles_spec_2025_csv[[#This Row],[range_km]]&lt;=200, "0–200 km",IF(electric_vehicles_spec_2025_csv[[#This Row],[range_km]]&lt;=400, "201–400 km", "401+ km"))</f>
        <v>401+ km</v>
      </c>
      <c r="N98" s="16">
        <v>7.7</v>
      </c>
      <c r="O98" s="16" t="str">
        <f>IF(electric_vehicles_spec_2025_csv[[#This Row],[acceleration_0_100_s]]&lt;4,"0–3.9 s",IF(electric_vehicles_spec_2025_csv[[#This Row],[acceleration_0_100_s]]&lt;6,"4.0–5.9 s",IF(electric_vehicles_spec_2025_csv[[#This Row],[acceleration_0_100_s]]&lt;8,"6.0–7.9 s","8.0+ s")))</f>
        <v>6.0–7.9 s</v>
      </c>
      <c r="P98" s="16">
        <v>100</v>
      </c>
      <c r="Q98" s="16" t="str">
        <f>IF(electric_vehicles_spec_2025_csv[[#This Row],[fast_charging_power_kw_dc]]&lt;50,"0–49 kW",IF(electric_vehicles_spec_2025_csv[[#This Row],[fast_charging_power_kw_dc]]&lt;100,"50–99 kW",IF(electric_vehicles_spec_2025_csv[[#This Row],[fast_charging_power_kw_dc]]&lt;150,"100–149 kW","150+ kW")))</f>
        <v>100–149 kW</v>
      </c>
      <c r="R98" s="16" t="s">
        <v>25</v>
      </c>
      <c r="S98" s="16">
        <v>1260</v>
      </c>
      <c r="T98" s="16" t="s">
        <v>283</v>
      </c>
      <c r="U98" s="16">
        <v>5</v>
      </c>
      <c r="V98" s="16" t="s">
        <v>27</v>
      </c>
      <c r="W98" s="16" t="s">
        <v>99</v>
      </c>
      <c r="X98" s="16">
        <v>4834</v>
      </c>
      <c r="Y98" s="16">
        <v>1920</v>
      </c>
      <c r="Z98" s="16">
        <v>1574</v>
      </c>
      <c r="AA98" s="16" t="s">
        <v>36</v>
      </c>
      <c r="AB98" s="16" t="s">
        <v>286</v>
      </c>
    </row>
    <row r="99" spans="1:28" x14ac:dyDescent="0.3">
      <c r="A99" s="16" t="s">
        <v>276</v>
      </c>
      <c r="B99" s="16" t="s">
        <v>287</v>
      </c>
      <c r="C99" s="16">
        <v>190</v>
      </c>
      <c r="D9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99" s="16">
        <v>97.2</v>
      </c>
      <c r="F99" s="16" t="str">
        <f>IF(electric_vehicles_spec_2025_csv[[#This Row],[battery_capacity_kWh]]&lt;=30, "0–30 kWh", IF(electric_vehicles_spec_2025_csv[[#This Row],[battery_capacity_kWh]]&lt;=60, "31–60 kWh", "61+ kWh"))</f>
        <v>61+ kWh</v>
      </c>
      <c r="G99" s="16" t="s">
        <v>24</v>
      </c>
      <c r="H99" s="16"/>
      <c r="I99" s="16">
        <v>345</v>
      </c>
      <c r="J99" s="16">
        <v>136</v>
      </c>
      <c r="K99" s="16" t="str">
        <f t="shared" si="1"/>
        <v>131–160 Wh/km</v>
      </c>
      <c r="L99" s="16">
        <v>545</v>
      </c>
      <c r="M99" s="16" t="str">
        <f>IF(electric_vehicles_spec_2025_csv[[#This Row],[range_km]]&lt;=200, "0–200 km",IF(electric_vehicles_spec_2025_csv[[#This Row],[range_km]]&lt;=400, "201–400 km", "401+ km"))</f>
        <v>401+ km</v>
      </c>
      <c r="N99" s="16">
        <v>7.8</v>
      </c>
      <c r="O99" s="16" t="str">
        <f>IF(electric_vehicles_spec_2025_csv[[#This Row],[acceleration_0_100_s]]&lt;4,"0–3.9 s",IF(electric_vehicles_spec_2025_csv[[#This Row],[acceleration_0_100_s]]&lt;6,"4.0–5.9 s",IF(electric_vehicles_spec_2025_csv[[#This Row],[acceleration_0_100_s]]&lt;8,"6.0–7.9 s","8.0+ s")))</f>
        <v>6.0–7.9 s</v>
      </c>
      <c r="P99" s="16">
        <v>130</v>
      </c>
      <c r="Q99" s="16" t="str">
        <f>IF(electric_vehicles_spec_2025_csv[[#This Row],[fast_charging_power_kw_dc]]&lt;50,"0–49 kW",IF(electric_vehicles_spec_2025_csv[[#This Row],[fast_charging_power_kw_dc]]&lt;100,"50–99 kW",IF(electric_vehicles_spec_2025_csv[[#This Row],[fast_charging_power_kw_dc]]&lt;150,"100–149 kW","150+ kW")))</f>
        <v>100–149 kW</v>
      </c>
      <c r="R99" s="16" t="s">
        <v>25</v>
      </c>
      <c r="S99" s="16">
        <v>1200</v>
      </c>
      <c r="T99" s="16" t="s">
        <v>283</v>
      </c>
      <c r="U99" s="16">
        <v>5</v>
      </c>
      <c r="V99" s="16" t="s">
        <v>27</v>
      </c>
      <c r="W99" s="16" t="s">
        <v>99</v>
      </c>
      <c r="X99" s="16">
        <v>4834</v>
      </c>
      <c r="Y99" s="16">
        <v>1920</v>
      </c>
      <c r="Z99" s="16">
        <v>1574</v>
      </c>
      <c r="AA99" s="16" t="s">
        <v>36</v>
      </c>
      <c r="AB99" s="16" t="s">
        <v>288</v>
      </c>
    </row>
    <row r="100" spans="1:28" x14ac:dyDescent="0.3">
      <c r="A100" s="16" t="s">
        <v>289</v>
      </c>
      <c r="B100" s="16" t="s">
        <v>290</v>
      </c>
      <c r="C100" s="16">
        <v>125</v>
      </c>
      <c r="D10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00" s="16">
        <v>25</v>
      </c>
      <c r="F100" s="16" t="str">
        <f>IF(electric_vehicles_spec_2025_csv[[#This Row],[battery_capacity_kWh]]&lt;=30, "0–30 kWh", IF(electric_vehicles_spec_2025_csv[[#This Row],[battery_capacity_kWh]]&lt;=60, "31–60 kWh", "61+ kWh"))</f>
        <v>0–30 kWh</v>
      </c>
      <c r="G100" s="16" t="s">
        <v>24</v>
      </c>
      <c r="H100" s="16">
        <v>72</v>
      </c>
      <c r="I100" s="16">
        <v>125</v>
      </c>
      <c r="J100" s="16">
        <v>109</v>
      </c>
      <c r="K100" s="16" t="str">
        <f t="shared" si="1"/>
        <v>0–130 Wh/km</v>
      </c>
      <c r="L100" s="16">
        <v>165</v>
      </c>
      <c r="M100" s="16" t="str">
        <f>IF(electric_vehicles_spec_2025_csv[[#This Row],[range_km]]&lt;=200, "0–200 km",IF(electric_vehicles_spec_2025_csv[[#This Row],[range_km]]&lt;=400, "201–400 km", "401+ km"))</f>
        <v>0–200 km</v>
      </c>
      <c r="N100" s="16">
        <v>19.100000000000001</v>
      </c>
      <c r="O100" s="16" t="str">
        <f>IF(electric_vehicles_spec_2025_csv[[#This Row],[acceleration_0_100_s]]&lt;4,"0–3.9 s",IF(electric_vehicles_spec_2025_csv[[#This Row],[acceleration_0_100_s]]&lt;6,"4.0–5.9 s",IF(electric_vehicles_spec_2025_csv[[#This Row],[acceleration_0_100_s]]&lt;8,"6.0–7.9 s","8.0+ s")))</f>
        <v>8.0+ s</v>
      </c>
      <c r="P100" s="16">
        <v>29</v>
      </c>
      <c r="Q100" s="16" t="str">
        <f>IF(electric_vehicles_spec_2025_csv[[#This Row],[fast_charging_power_kw_dc]]&lt;50,"0–49 kW",IF(electric_vehicles_spec_2025_csv[[#This Row],[fast_charging_power_kw_dc]]&lt;100,"50–99 kW",IF(electric_vehicles_spec_2025_csv[[#This Row],[fast_charging_power_kw_dc]]&lt;150,"100–149 kW","150+ kW")))</f>
        <v>0–49 kW</v>
      </c>
      <c r="R100" s="16" t="s">
        <v>25</v>
      </c>
      <c r="S100" s="16">
        <v>0</v>
      </c>
      <c r="T100" s="16" t="s">
        <v>197</v>
      </c>
      <c r="U100" s="16">
        <v>4</v>
      </c>
      <c r="V100" s="16" t="s">
        <v>27</v>
      </c>
      <c r="W100" s="16" t="s">
        <v>291</v>
      </c>
      <c r="X100" s="16">
        <v>3700</v>
      </c>
      <c r="Y100" s="16">
        <v>1622</v>
      </c>
      <c r="Z100" s="16">
        <v>1516</v>
      </c>
      <c r="AA100" s="16" t="s">
        <v>29</v>
      </c>
      <c r="AB100" s="16" t="s">
        <v>292</v>
      </c>
    </row>
    <row r="101" spans="1:28" x14ac:dyDescent="0.3">
      <c r="A101" s="16" t="s">
        <v>289</v>
      </c>
      <c r="B101" s="16" t="s">
        <v>293</v>
      </c>
      <c r="C101" s="16">
        <v>125</v>
      </c>
      <c r="D10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01" s="16">
        <v>25</v>
      </c>
      <c r="F101" s="16" t="str">
        <f>IF(electric_vehicles_spec_2025_csv[[#This Row],[battery_capacity_kWh]]&lt;=30, "0–30 kWh", IF(electric_vehicles_spec_2025_csv[[#This Row],[battery_capacity_kWh]]&lt;=60, "31–60 kWh", "61+ kWh"))</f>
        <v>0–30 kWh</v>
      </c>
      <c r="G101" s="16" t="s">
        <v>24</v>
      </c>
      <c r="H101" s="16">
        <v>72</v>
      </c>
      <c r="I101" s="16">
        <v>113</v>
      </c>
      <c r="J101" s="16">
        <v>114</v>
      </c>
      <c r="K101" s="16" t="str">
        <f t="shared" si="1"/>
        <v>0–130 Wh/km</v>
      </c>
      <c r="L101" s="16">
        <v>160</v>
      </c>
      <c r="M101" s="16" t="str">
        <f>IF(electric_vehicles_spec_2025_csv[[#This Row],[range_km]]&lt;=200, "0–200 km",IF(electric_vehicles_spec_2025_csv[[#This Row],[range_km]]&lt;=400, "201–400 km", "401+ km"))</f>
        <v>0–200 km</v>
      </c>
      <c r="N101" s="16">
        <v>13.7</v>
      </c>
      <c r="O101" s="16" t="str">
        <f>IF(electric_vehicles_spec_2025_csv[[#This Row],[acceleration_0_100_s]]&lt;4,"0–3.9 s",IF(electric_vehicles_spec_2025_csv[[#This Row],[acceleration_0_100_s]]&lt;6,"4.0–5.9 s",IF(electric_vehicles_spec_2025_csv[[#This Row],[acceleration_0_100_s]]&lt;8,"6.0–7.9 s","8.0+ s")))</f>
        <v>8.0+ s</v>
      </c>
      <c r="P101" s="16">
        <v>29</v>
      </c>
      <c r="Q101" s="16" t="str">
        <f>IF(electric_vehicles_spec_2025_csv[[#This Row],[fast_charging_power_kw_dc]]&lt;50,"0–49 kW",IF(electric_vehicles_spec_2025_csv[[#This Row],[fast_charging_power_kw_dc]]&lt;100,"50–99 kW",IF(electric_vehicles_spec_2025_csv[[#This Row],[fast_charging_power_kw_dc]]&lt;150,"100–149 kW","150+ kW")))</f>
        <v>0–49 kW</v>
      </c>
      <c r="R101" s="16" t="s">
        <v>25</v>
      </c>
      <c r="S101" s="16">
        <v>0</v>
      </c>
      <c r="T101" s="16" t="s">
        <v>197</v>
      </c>
      <c r="U101" s="16">
        <v>4</v>
      </c>
      <c r="V101" s="16" t="s">
        <v>27</v>
      </c>
      <c r="W101" s="16" t="s">
        <v>291</v>
      </c>
      <c r="X101" s="16">
        <v>3700</v>
      </c>
      <c r="Y101" s="16">
        <v>1622</v>
      </c>
      <c r="Z101" s="16">
        <v>1516</v>
      </c>
      <c r="AA101" s="16" t="s">
        <v>29</v>
      </c>
      <c r="AB101" s="16" t="s">
        <v>294</v>
      </c>
    </row>
    <row r="102" spans="1:28" x14ac:dyDescent="0.3">
      <c r="A102" s="16" t="s">
        <v>295</v>
      </c>
      <c r="B102" s="16" t="s">
        <v>296</v>
      </c>
      <c r="C102" s="16">
        <v>140</v>
      </c>
      <c r="D10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02" s="16">
        <v>29</v>
      </c>
      <c r="F102" s="16" t="str">
        <f>IF(electric_vehicles_spec_2025_csv[[#This Row],[battery_capacity_kWh]]&lt;=30, "0–30 kWh", IF(electric_vehicles_spec_2025_csv[[#This Row],[battery_capacity_kWh]]&lt;=60, "31–60 kWh", "61+ kWh"))</f>
        <v>0–30 kWh</v>
      </c>
      <c r="G102" s="16" t="s">
        <v>24</v>
      </c>
      <c r="H102" s="16"/>
      <c r="I102" s="16">
        <v>160</v>
      </c>
      <c r="J102" s="16">
        <v>126</v>
      </c>
      <c r="K102" s="16" t="str">
        <f t="shared" si="1"/>
        <v>0–130 Wh/km</v>
      </c>
      <c r="L102" s="16">
        <v>190</v>
      </c>
      <c r="M102" s="16" t="str">
        <f>IF(electric_vehicles_spec_2025_csv[[#This Row],[range_km]]&lt;=200, "0–200 km",IF(electric_vehicles_spec_2025_csv[[#This Row],[range_km]]&lt;=400, "201–400 km", "401+ km"))</f>
        <v>0–200 km</v>
      </c>
      <c r="N102" s="16">
        <v>12.5</v>
      </c>
      <c r="O102" s="16" t="str">
        <f>IF(electric_vehicles_spec_2025_csv[[#This Row],[acceleration_0_100_s]]&lt;4,"0–3.9 s",IF(electric_vehicles_spec_2025_csv[[#This Row],[acceleration_0_100_s]]&lt;6,"4.0–5.9 s",IF(electric_vehicles_spec_2025_csv[[#This Row],[acceleration_0_100_s]]&lt;8,"6.0–7.9 s","8.0+ s")))</f>
        <v>8.0+ s</v>
      </c>
      <c r="P102" s="16">
        <v>50</v>
      </c>
      <c r="Q102" s="16" t="str">
        <f>IF(electric_vehicles_spec_2025_csv[[#This Row],[fast_charging_power_kw_dc]]&lt;50,"0–49 kW",IF(electric_vehicles_spec_2025_csv[[#This Row],[fast_charging_power_kw_dc]]&lt;100,"50–99 kW",IF(electric_vehicles_spec_2025_csv[[#This Row],[fast_charging_power_kw_dc]]&lt;150,"100–149 kW","150+ kW")))</f>
        <v>50–99 kW</v>
      </c>
      <c r="R102" s="16" t="s">
        <v>25</v>
      </c>
      <c r="S102" s="16"/>
      <c r="T102" s="16" t="s">
        <v>56</v>
      </c>
      <c r="U102" s="16">
        <v>5</v>
      </c>
      <c r="V102" s="16" t="s">
        <v>27</v>
      </c>
      <c r="W102" s="16" t="s">
        <v>28</v>
      </c>
      <c r="X102" s="16">
        <v>4020</v>
      </c>
      <c r="Y102" s="16">
        <v>1810</v>
      </c>
      <c r="Z102" s="16">
        <v>1570</v>
      </c>
      <c r="AA102" s="16" t="s">
        <v>29</v>
      </c>
      <c r="AB102" s="16" t="s">
        <v>297</v>
      </c>
    </row>
    <row r="103" spans="1:28" x14ac:dyDescent="0.3">
      <c r="A103" s="16" t="s">
        <v>295</v>
      </c>
      <c r="B103" s="16" t="s">
        <v>298</v>
      </c>
      <c r="C103" s="16">
        <v>140</v>
      </c>
      <c r="D10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03" s="16">
        <v>40</v>
      </c>
      <c r="F103" s="16" t="str">
        <f>IF(electric_vehicles_spec_2025_csv[[#This Row],[battery_capacity_kWh]]&lt;=30, "0–30 kWh", IF(electric_vehicles_spec_2025_csv[[#This Row],[battery_capacity_kWh]]&lt;=60, "31–60 kWh", "61+ kWh"))</f>
        <v>31–60 kWh</v>
      </c>
      <c r="G103" s="16" t="s">
        <v>24</v>
      </c>
      <c r="H103" s="16"/>
      <c r="I103" s="16">
        <v>160</v>
      </c>
      <c r="J103" s="16">
        <v>129</v>
      </c>
      <c r="K103" s="16" t="str">
        <f t="shared" si="1"/>
        <v>0–130 Wh/km</v>
      </c>
      <c r="L103" s="16">
        <v>255</v>
      </c>
      <c r="M103" s="16" t="str">
        <f>IF(electric_vehicles_spec_2025_csv[[#This Row],[range_km]]&lt;=200, "0–200 km",IF(electric_vehicles_spec_2025_csv[[#This Row],[range_km]]&lt;=400, "201–400 km", "401+ km"))</f>
        <v>201–400 km</v>
      </c>
      <c r="N103" s="16">
        <v>12.5</v>
      </c>
      <c r="O103" s="16" t="str">
        <f>IF(electric_vehicles_spec_2025_csv[[#This Row],[acceleration_0_100_s]]&lt;4,"0–3.9 s",IF(electric_vehicles_spec_2025_csv[[#This Row],[acceleration_0_100_s]]&lt;6,"4.0–5.9 s",IF(electric_vehicles_spec_2025_csv[[#This Row],[acceleration_0_100_s]]&lt;8,"6.0–7.9 s","8.0+ s")))</f>
        <v>8.0+ s</v>
      </c>
      <c r="P103" s="16">
        <v>51</v>
      </c>
      <c r="Q103" s="16" t="str">
        <f>IF(electric_vehicles_spec_2025_csv[[#This Row],[fast_charging_power_kw_dc]]&lt;50,"0–49 kW",IF(electric_vehicles_spec_2025_csv[[#This Row],[fast_charging_power_kw_dc]]&lt;100,"50–99 kW",IF(electric_vehicles_spec_2025_csv[[#This Row],[fast_charging_power_kw_dc]]&lt;150,"100–149 kW","150+ kW")))</f>
        <v>50–99 kW</v>
      </c>
      <c r="R103" s="16" t="s">
        <v>25</v>
      </c>
      <c r="S103" s="16"/>
      <c r="T103" s="16" t="s">
        <v>56</v>
      </c>
      <c r="U103" s="16">
        <v>5</v>
      </c>
      <c r="V103" s="16" t="s">
        <v>27</v>
      </c>
      <c r="W103" s="16" t="s">
        <v>28</v>
      </c>
      <c r="X103" s="16">
        <v>4020</v>
      </c>
      <c r="Y103" s="16">
        <v>1810</v>
      </c>
      <c r="Z103" s="16">
        <v>1570</v>
      </c>
      <c r="AA103" s="16" t="s">
        <v>29</v>
      </c>
      <c r="AB103" s="16" t="s">
        <v>299</v>
      </c>
    </row>
    <row r="104" spans="1:28" x14ac:dyDescent="0.3">
      <c r="A104" s="16" t="s">
        <v>300</v>
      </c>
      <c r="B104" s="16" t="s">
        <v>301</v>
      </c>
      <c r="C104" s="16">
        <v>150</v>
      </c>
      <c r="D10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04" s="16">
        <v>81</v>
      </c>
      <c r="F104" s="16" t="str">
        <f>IF(electric_vehicles_spec_2025_csv[[#This Row],[battery_capacity_kWh]]&lt;=30, "0–30 kWh", IF(electric_vehicles_spec_2025_csv[[#This Row],[battery_capacity_kWh]]&lt;=60, "31–60 kWh", "61+ kWh"))</f>
        <v>61+ kWh</v>
      </c>
      <c r="G104" s="16" t="s">
        <v>24</v>
      </c>
      <c r="H104" s="16"/>
      <c r="I104" s="16">
        <v>320</v>
      </c>
      <c r="J104" s="16">
        <v>203</v>
      </c>
      <c r="K104" s="16" t="str">
        <f t="shared" si="1"/>
        <v>161+ Wh/km</v>
      </c>
      <c r="L104" s="16">
        <v>390</v>
      </c>
      <c r="M104" s="16" t="str">
        <f>IF(electric_vehicles_spec_2025_csv[[#This Row],[range_km]]&lt;=200, "0–200 km",IF(electric_vehicles_spec_2025_csv[[#This Row],[range_km]]&lt;=400, "201–400 km", "401+ km"))</f>
        <v>201–400 km</v>
      </c>
      <c r="N104" s="16">
        <v>9.5</v>
      </c>
      <c r="O104" s="16" t="str">
        <f>IF(electric_vehicles_spec_2025_csv[[#This Row],[acceleration_0_100_s]]&lt;4,"0–3.9 s",IF(electric_vehicles_spec_2025_csv[[#This Row],[acceleration_0_100_s]]&lt;6,"4.0–5.9 s",IF(electric_vehicles_spec_2025_csv[[#This Row],[acceleration_0_100_s]]&lt;8,"6.0–7.9 s","8.0+ s")))</f>
        <v>8.0+ s</v>
      </c>
      <c r="P104" s="16">
        <v>65</v>
      </c>
      <c r="Q104" s="16" t="str">
        <f>IF(electric_vehicles_spec_2025_csv[[#This Row],[fast_charging_power_kw_dc]]&lt;50,"0–49 kW",IF(electric_vehicles_spec_2025_csv[[#This Row],[fast_charging_power_kw_dc]]&lt;100,"50–99 kW",IF(electric_vehicles_spec_2025_csv[[#This Row],[fast_charging_power_kw_dc]]&lt;150,"100–149 kW","150+ kW")))</f>
        <v>50–99 kW</v>
      </c>
      <c r="R104" s="16" t="s">
        <v>25</v>
      </c>
      <c r="S104" s="16"/>
      <c r="T104" s="16" t="s">
        <v>302</v>
      </c>
      <c r="U104" s="16">
        <v>5</v>
      </c>
      <c r="V104" s="16" t="s">
        <v>27</v>
      </c>
      <c r="W104" s="16" t="s">
        <v>99</v>
      </c>
      <c r="X104" s="16">
        <v>4698</v>
      </c>
      <c r="Y104" s="16">
        <v>1908</v>
      </c>
      <c r="Z104" s="16">
        <v>1696</v>
      </c>
      <c r="AA104" s="16" t="s">
        <v>36</v>
      </c>
      <c r="AB104" s="16" t="s">
        <v>303</v>
      </c>
    </row>
    <row r="105" spans="1:28" x14ac:dyDescent="0.3">
      <c r="A105" s="16" t="s">
        <v>304</v>
      </c>
      <c r="B105" s="16" t="s">
        <v>305</v>
      </c>
      <c r="C105" s="16">
        <v>135</v>
      </c>
      <c r="D10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05" s="16">
        <v>21.3</v>
      </c>
      <c r="F105" s="16" t="str">
        <f>IF(electric_vehicles_spec_2025_csv[[#This Row],[battery_capacity_kWh]]&lt;=30, "0–30 kWh", IF(electric_vehicles_spec_2025_csv[[#This Row],[battery_capacity_kWh]]&lt;=60, "31–60 kWh", "61+ kWh"))</f>
        <v>0–30 kWh</v>
      </c>
      <c r="G105" s="16" t="s">
        <v>24</v>
      </c>
      <c r="H105" s="16">
        <v>108</v>
      </c>
      <c r="I105" s="16">
        <v>220</v>
      </c>
      <c r="J105" s="16">
        <v>112</v>
      </c>
      <c r="K105" s="16" t="str">
        <f t="shared" si="1"/>
        <v>0–130 Wh/km</v>
      </c>
      <c r="L105" s="16">
        <v>135</v>
      </c>
      <c r="M105" s="16" t="str">
        <f>IF(electric_vehicles_spec_2025_csv[[#This Row],[range_km]]&lt;=200, "0–200 km",IF(electric_vehicles_spec_2025_csv[[#This Row],[range_km]]&lt;=400, "201–400 km", "401+ km"))</f>
        <v>0–200 km</v>
      </c>
      <c r="N105" s="16">
        <v>9</v>
      </c>
      <c r="O105" s="16" t="str">
        <f>IF(electric_vehicles_spec_2025_csv[[#This Row],[acceleration_0_100_s]]&lt;4,"0–3.9 s",IF(electric_vehicles_spec_2025_csv[[#This Row],[acceleration_0_100_s]]&lt;6,"4.0–5.9 s",IF(electric_vehicles_spec_2025_csv[[#This Row],[acceleration_0_100_s]]&lt;8,"6.0–7.9 s","8.0+ s")))</f>
        <v>8.0+ s</v>
      </c>
      <c r="P105" s="16">
        <v>40</v>
      </c>
      <c r="Q105" s="16" t="str">
        <f>IF(electric_vehicles_spec_2025_csv[[#This Row],[fast_charging_power_kw_dc]]&lt;50,"0–49 kW",IF(electric_vehicles_spec_2025_csv[[#This Row],[fast_charging_power_kw_dc]]&lt;100,"50–99 kW",IF(electric_vehicles_spec_2025_csv[[#This Row],[fast_charging_power_kw_dc]]&lt;150,"100–149 kW","150+ kW")))</f>
        <v>0–49 kW</v>
      </c>
      <c r="R105" s="16" t="s">
        <v>25</v>
      </c>
      <c r="S105" s="16">
        <v>0</v>
      </c>
      <c r="T105" s="16" t="s">
        <v>26</v>
      </c>
      <c r="U105" s="16">
        <v>4</v>
      </c>
      <c r="V105" s="16" t="s">
        <v>27</v>
      </c>
      <c r="W105" s="16" t="s">
        <v>28</v>
      </c>
      <c r="X105" s="16">
        <v>3631</v>
      </c>
      <c r="Y105" s="16">
        <v>1683</v>
      </c>
      <c r="Z105" s="16">
        <v>1529</v>
      </c>
      <c r="AA105" s="16" t="s">
        <v>29</v>
      </c>
      <c r="AB105" s="16" t="s">
        <v>306</v>
      </c>
    </row>
    <row r="106" spans="1:28" x14ac:dyDescent="0.3">
      <c r="A106" s="16" t="s">
        <v>304</v>
      </c>
      <c r="B106" s="16" t="s">
        <v>307</v>
      </c>
      <c r="C106" s="16">
        <v>150</v>
      </c>
      <c r="D10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06" s="16">
        <v>37.299999999999997</v>
      </c>
      <c r="F106" s="16" t="str">
        <f>IF(electric_vehicles_spec_2025_csv[[#This Row],[battery_capacity_kWh]]&lt;=30, "0–30 kWh", IF(electric_vehicles_spec_2025_csv[[#This Row],[battery_capacity_kWh]]&lt;=60, "31–60 kWh", "61+ kWh"))</f>
        <v>31–60 kWh</v>
      </c>
      <c r="G106" s="16" t="s">
        <v>24</v>
      </c>
      <c r="H106" s="16">
        <v>192</v>
      </c>
      <c r="I106" s="16">
        <v>220</v>
      </c>
      <c r="J106" s="16">
        <v>122</v>
      </c>
      <c r="K106" s="16" t="str">
        <f t="shared" si="1"/>
        <v>0–130 Wh/km</v>
      </c>
      <c r="L106" s="16">
        <v>235</v>
      </c>
      <c r="M106" s="16" t="str">
        <f>IF(electric_vehicles_spec_2025_csv[[#This Row],[range_km]]&lt;=200, "0–200 km",IF(electric_vehicles_spec_2025_csv[[#This Row],[range_km]]&lt;=400, "201–400 km", "401+ km"))</f>
        <v>201–400 km</v>
      </c>
      <c r="N106" s="16">
        <v>9</v>
      </c>
      <c r="O106" s="16" t="str">
        <f>IF(electric_vehicles_spec_2025_csv[[#This Row],[acceleration_0_100_s]]&lt;4,"0–3.9 s",IF(electric_vehicles_spec_2025_csv[[#This Row],[acceleration_0_100_s]]&lt;6,"4.0–5.9 s",IF(electric_vehicles_spec_2025_csv[[#This Row],[acceleration_0_100_s]]&lt;8,"6.0–7.9 s","8.0+ s")))</f>
        <v>8.0+ s</v>
      </c>
      <c r="P106" s="16">
        <v>67</v>
      </c>
      <c r="Q106" s="16" t="str">
        <f>IF(electric_vehicles_spec_2025_csv[[#This Row],[fast_charging_power_kw_dc]]&lt;50,"0–49 kW",IF(electric_vehicles_spec_2025_csv[[#This Row],[fast_charging_power_kw_dc]]&lt;100,"50–99 kW",IF(electric_vehicles_spec_2025_csv[[#This Row],[fast_charging_power_kw_dc]]&lt;150,"100–149 kW","150+ kW")))</f>
        <v>50–99 kW</v>
      </c>
      <c r="R106" s="16" t="s">
        <v>25</v>
      </c>
      <c r="S106" s="16">
        <v>0</v>
      </c>
      <c r="T106" s="16" t="s">
        <v>26</v>
      </c>
      <c r="U106" s="16">
        <v>4</v>
      </c>
      <c r="V106" s="16" t="s">
        <v>27</v>
      </c>
      <c r="W106" s="16" t="s">
        <v>28</v>
      </c>
      <c r="X106" s="16">
        <v>3631</v>
      </c>
      <c r="Y106" s="16">
        <v>1683</v>
      </c>
      <c r="Z106" s="16">
        <v>1529</v>
      </c>
      <c r="AA106" s="16" t="s">
        <v>29</v>
      </c>
      <c r="AB106" s="16" t="s">
        <v>308</v>
      </c>
    </row>
    <row r="107" spans="1:28" x14ac:dyDescent="0.3">
      <c r="A107" s="16" t="s">
        <v>304</v>
      </c>
      <c r="B107" s="16" t="s">
        <v>309</v>
      </c>
      <c r="C107" s="16">
        <v>135</v>
      </c>
      <c r="D10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07" s="16">
        <v>21.3</v>
      </c>
      <c r="F107" s="16" t="str">
        <f>IF(electric_vehicles_spec_2025_csv[[#This Row],[battery_capacity_kWh]]&lt;=30, "0–30 kWh", IF(electric_vehicles_spec_2025_csv[[#This Row],[battery_capacity_kWh]]&lt;=60, "31–60 kWh", "61+ kWh"))</f>
        <v>0–30 kWh</v>
      </c>
      <c r="G107" s="16" t="s">
        <v>24</v>
      </c>
      <c r="H107" s="16">
        <v>108</v>
      </c>
      <c r="I107" s="16">
        <v>220</v>
      </c>
      <c r="J107" s="16">
        <v>112</v>
      </c>
      <c r="K107" s="16" t="str">
        <f t="shared" si="1"/>
        <v>0–130 Wh/km</v>
      </c>
      <c r="L107" s="16">
        <v>135</v>
      </c>
      <c r="M107" s="16" t="str">
        <f>IF(electric_vehicles_spec_2025_csv[[#This Row],[range_km]]&lt;=200, "0–200 km",IF(electric_vehicles_spec_2025_csv[[#This Row],[range_km]]&lt;=400, "201–400 km", "401+ km"))</f>
        <v>0–200 km</v>
      </c>
      <c r="N107" s="16">
        <v>9</v>
      </c>
      <c r="O107" s="16" t="str">
        <f>IF(electric_vehicles_spec_2025_csv[[#This Row],[acceleration_0_100_s]]&lt;4,"0–3.9 s",IF(electric_vehicles_spec_2025_csv[[#This Row],[acceleration_0_100_s]]&lt;6,"4.0–5.9 s",IF(electric_vehicles_spec_2025_csv[[#This Row],[acceleration_0_100_s]]&lt;8,"6.0–7.9 s","8.0+ s")))</f>
        <v>8.0+ s</v>
      </c>
      <c r="P107" s="16">
        <v>40</v>
      </c>
      <c r="Q107" s="16" t="str">
        <f>IF(electric_vehicles_spec_2025_csv[[#This Row],[fast_charging_power_kw_dc]]&lt;50,"0–49 kW",IF(electric_vehicles_spec_2025_csv[[#This Row],[fast_charging_power_kw_dc]]&lt;100,"50–99 kW",IF(electric_vehicles_spec_2025_csv[[#This Row],[fast_charging_power_kw_dc]]&lt;150,"100–149 kW","150+ kW")))</f>
        <v>0–49 kW</v>
      </c>
      <c r="R107" s="16" t="s">
        <v>25</v>
      </c>
      <c r="S107" s="16">
        <v>0</v>
      </c>
      <c r="T107" s="16" t="s">
        <v>26</v>
      </c>
      <c r="U107" s="16">
        <v>4</v>
      </c>
      <c r="V107" s="16" t="s">
        <v>27</v>
      </c>
      <c r="W107" s="16" t="s">
        <v>28</v>
      </c>
      <c r="X107" s="16">
        <v>3631</v>
      </c>
      <c r="Y107" s="16">
        <v>1683</v>
      </c>
      <c r="Z107" s="16">
        <v>1529</v>
      </c>
      <c r="AA107" s="16" t="s">
        <v>310</v>
      </c>
      <c r="AB107" s="16" t="s">
        <v>311</v>
      </c>
    </row>
    <row r="108" spans="1:28" x14ac:dyDescent="0.3">
      <c r="A108" s="16" t="s">
        <v>304</v>
      </c>
      <c r="B108" s="16" t="s">
        <v>312</v>
      </c>
      <c r="C108" s="16">
        <v>150</v>
      </c>
      <c r="D10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08" s="16">
        <v>37.299999999999997</v>
      </c>
      <c r="F108" s="16" t="str">
        <f>IF(electric_vehicles_spec_2025_csv[[#This Row],[battery_capacity_kWh]]&lt;=30, "0–30 kWh", IF(electric_vehicles_spec_2025_csv[[#This Row],[battery_capacity_kWh]]&lt;=60, "31–60 kWh", "61+ kWh"))</f>
        <v>31–60 kWh</v>
      </c>
      <c r="G108" s="16" t="s">
        <v>24</v>
      </c>
      <c r="H108" s="16">
        <v>192</v>
      </c>
      <c r="I108" s="16">
        <v>220</v>
      </c>
      <c r="J108" s="16">
        <v>125</v>
      </c>
      <c r="K108" s="16" t="str">
        <f t="shared" si="1"/>
        <v>0–130 Wh/km</v>
      </c>
      <c r="L108" s="16">
        <v>230</v>
      </c>
      <c r="M108" s="16" t="str">
        <f>IF(electric_vehicles_spec_2025_csv[[#This Row],[range_km]]&lt;=200, "0–200 km",IF(electric_vehicles_spec_2025_csv[[#This Row],[range_km]]&lt;=400, "201–400 km", "401+ km"))</f>
        <v>201–400 km</v>
      </c>
      <c r="N108" s="16">
        <v>9</v>
      </c>
      <c r="O108" s="16" t="str">
        <f>IF(electric_vehicles_spec_2025_csv[[#This Row],[acceleration_0_100_s]]&lt;4,"0–3.9 s",IF(electric_vehicles_spec_2025_csv[[#This Row],[acceleration_0_100_s]]&lt;6,"4.0–5.9 s",IF(electric_vehicles_spec_2025_csv[[#This Row],[acceleration_0_100_s]]&lt;8,"6.0–7.9 s","8.0+ s")))</f>
        <v>8.0+ s</v>
      </c>
      <c r="P108" s="16">
        <v>67</v>
      </c>
      <c r="Q108" s="16" t="str">
        <f>IF(electric_vehicles_spec_2025_csv[[#This Row],[fast_charging_power_kw_dc]]&lt;50,"0–49 kW",IF(electric_vehicles_spec_2025_csv[[#This Row],[fast_charging_power_kw_dc]]&lt;100,"50–99 kW",IF(electric_vehicles_spec_2025_csv[[#This Row],[fast_charging_power_kw_dc]]&lt;150,"100–149 kW","150+ kW")))</f>
        <v>50–99 kW</v>
      </c>
      <c r="R108" s="16" t="s">
        <v>25</v>
      </c>
      <c r="S108" s="16">
        <v>0</v>
      </c>
      <c r="T108" s="16" t="s">
        <v>26</v>
      </c>
      <c r="U108" s="16">
        <v>4</v>
      </c>
      <c r="V108" s="16" t="s">
        <v>27</v>
      </c>
      <c r="W108" s="16" t="s">
        <v>28</v>
      </c>
      <c r="X108" s="16">
        <v>3631</v>
      </c>
      <c r="Y108" s="16">
        <v>1683</v>
      </c>
      <c r="Z108" s="16">
        <v>1529</v>
      </c>
      <c r="AA108" s="16" t="s">
        <v>310</v>
      </c>
      <c r="AB108" s="16" t="s">
        <v>313</v>
      </c>
    </row>
    <row r="109" spans="1:28" x14ac:dyDescent="0.3">
      <c r="A109" s="16" t="s">
        <v>304</v>
      </c>
      <c r="B109" s="16" t="s">
        <v>314</v>
      </c>
      <c r="C109" s="16">
        <v>135</v>
      </c>
      <c r="D10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09" s="16">
        <v>21.3</v>
      </c>
      <c r="F109" s="16" t="str">
        <f>IF(electric_vehicles_spec_2025_csv[[#This Row],[battery_capacity_kWh]]&lt;=30, "0–30 kWh", IF(electric_vehicles_spec_2025_csv[[#This Row],[battery_capacity_kWh]]&lt;=60, "31–60 kWh", "61+ kWh"))</f>
        <v>0–30 kWh</v>
      </c>
      <c r="G109" s="16" t="s">
        <v>24</v>
      </c>
      <c r="H109" s="16">
        <v>108</v>
      </c>
      <c r="I109" s="16">
        <v>220</v>
      </c>
      <c r="J109" s="16">
        <v>112</v>
      </c>
      <c r="K109" s="16" t="str">
        <f t="shared" si="1"/>
        <v>0–130 Wh/km</v>
      </c>
      <c r="L109" s="16">
        <v>135</v>
      </c>
      <c r="M109" s="16" t="str">
        <f>IF(electric_vehicles_spec_2025_csv[[#This Row],[range_km]]&lt;=200, "0–200 km",IF(electric_vehicles_spec_2025_csv[[#This Row],[range_km]]&lt;=400, "201–400 km", "401+ km"))</f>
        <v>0–200 km</v>
      </c>
      <c r="N109" s="16">
        <v>9</v>
      </c>
      <c r="O109" s="16" t="str">
        <f>IF(electric_vehicles_spec_2025_csv[[#This Row],[acceleration_0_100_s]]&lt;4,"0–3.9 s",IF(electric_vehicles_spec_2025_csv[[#This Row],[acceleration_0_100_s]]&lt;6,"4.0–5.9 s",IF(electric_vehicles_spec_2025_csv[[#This Row],[acceleration_0_100_s]]&lt;8,"6.0–7.9 s","8.0+ s")))</f>
        <v>8.0+ s</v>
      </c>
      <c r="P109" s="16">
        <v>40</v>
      </c>
      <c r="Q109" s="16" t="str">
        <f>IF(electric_vehicles_spec_2025_csv[[#This Row],[fast_charging_power_kw_dc]]&lt;50,"0–49 kW",IF(electric_vehicles_spec_2025_csv[[#This Row],[fast_charging_power_kw_dc]]&lt;100,"50–99 kW",IF(electric_vehicles_spec_2025_csv[[#This Row],[fast_charging_power_kw_dc]]&lt;150,"100–149 kW","150+ kW")))</f>
        <v>0–49 kW</v>
      </c>
      <c r="R109" s="16" t="s">
        <v>25</v>
      </c>
      <c r="S109" s="16">
        <v>0</v>
      </c>
      <c r="T109" s="16" t="s">
        <v>26</v>
      </c>
      <c r="U109" s="16">
        <v>4</v>
      </c>
      <c r="V109" s="16" t="s">
        <v>27</v>
      </c>
      <c r="W109" s="16" t="s">
        <v>28</v>
      </c>
      <c r="X109" s="16">
        <v>3631</v>
      </c>
      <c r="Y109" s="16">
        <v>1683</v>
      </c>
      <c r="Z109" s="16">
        <v>1529</v>
      </c>
      <c r="AA109" s="16" t="s">
        <v>29</v>
      </c>
      <c r="AB109" s="16" t="s">
        <v>315</v>
      </c>
    </row>
    <row r="110" spans="1:28" x14ac:dyDescent="0.3">
      <c r="A110" s="16" t="s">
        <v>304</v>
      </c>
      <c r="B110" s="16" t="s">
        <v>316</v>
      </c>
      <c r="C110" s="16">
        <v>150</v>
      </c>
      <c r="D11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10" s="16">
        <v>37.299999999999997</v>
      </c>
      <c r="F110" s="16" t="str">
        <f>IF(electric_vehicles_spec_2025_csv[[#This Row],[battery_capacity_kWh]]&lt;=30, "0–30 kWh", IF(electric_vehicles_spec_2025_csv[[#This Row],[battery_capacity_kWh]]&lt;=60, "31–60 kWh", "61+ kWh"))</f>
        <v>31–60 kWh</v>
      </c>
      <c r="G110" s="16" t="s">
        <v>24</v>
      </c>
      <c r="H110" s="16">
        <v>192</v>
      </c>
      <c r="I110" s="16">
        <v>220</v>
      </c>
      <c r="J110" s="16">
        <v>118</v>
      </c>
      <c r="K110" s="16" t="str">
        <f t="shared" si="1"/>
        <v>0–130 Wh/km</v>
      </c>
      <c r="L110" s="16">
        <v>235</v>
      </c>
      <c r="M110" s="16" t="str">
        <f>IF(electric_vehicles_spec_2025_csv[[#This Row],[range_km]]&lt;=200, "0–200 km",IF(electric_vehicles_spec_2025_csv[[#This Row],[range_km]]&lt;=400, "201–400 km", "401+ km"))</f>
        <v>201–400 km</v>
      </c>
      <c r="N110" s="16">
        <v>9</v>
      </c>
      <c r="O110" s="16" t="str">
        <f>IF(electric_vehicles_spec_2025_csv[[#This Row],[acceleration_0_100_s]]&lt;4,"0–3.9 s",IF(electric_vehicles_spec_2025_csv[[#This Row],[acceleration_0_100_s]]&lt;6,"4.0–5.9 s",IF(electric_vehicles_spec_2025_csv[[#This Row],[acceleration_0_100_s]]&lt;8,"6.0–7.9 s","8.0+ s")))</f>
        <v>8.0+ s</v>
      </c>
      <c r="P110" s="16">
        <v>67</v>
      </c>
      <c r="Q110" s="16" t="str">
        <f>IF(electric_vehicles_spec_2025_csv[[#This Row],[fast_charging_power_kw_dc]]&lt;50,"0–49 kW",IF(electric_vehicles_spec_2025_csv[[#This Row],[fast_charging_power_kw_dc]]&lt;100,"50–99 kW",IF(electric_vehicles_spec_2025_csv[[#This Row],[fast_charging_power_kw_dc]]&lt;150,"100–149 kW","150+ kW")))</f>
        <v>50–99 kW</v>
      </c>
      <c r="R110" s="16" t="s">
        <v>25</v>
      </c>
      <c r="S110" s="16">
        <v>0</v>
      </c>
      <c r="T110" s="16" t="s">
        <v>26</v>
      </c>
      <c r="U110" s="16">
        <v>4</v>
      </c>
      <c r="V110" s="16" t="s">
        <v>27</v>
      </c>
      <c r="W110" s="16" t="s">
        <v>28</v>
      </c>
      <c r="X110" s="16">
        <v>3631</v>
      </c>
      <c r="Y110" s="16">
        <v>1683</v>
      </c>
      <c r="Z110" s="16">
        <v>1529</v>
      </c>
      <c r="AA110" s="16" t="s">
        <v>29</v>
      </c>
      <c r="AB110" s="16" t="s">
        <v>317</v>
      </c>
    </row>
    <row r="111" spans="1:28" x14ac:dyDescent="0.3">
      <c r="A111" s="16" t="s">
        <v>304</v>
      </c>
      <c r="B111" s="16" t="s">
        <v>318</v>
      </c>
      <c r="C111" s="16">
        <v>150</v>
      </c>
      <c r="D11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11" s="16">
        <v>50.8</v>
      </c>
      <c r="F111" s="16" t="str">
        <f>IF(electric_vehicles_spec_2025_csv[[#This Row],[battery_capacity_kWh]]&lt;=30, "0–30 kWh", IF(electric_vehicles_spec_2025_csv[[#This Row],[battery_capacity_kWh]]&lt;=60, "31–60 kWh", "61+ kWh"))</f>
        <v>31–60 kWh</v>
      </c>
      <c r="G111" s="16" t="s">
        <v>24</v>
      </c>
      <c r="H111" s="16">
        <v>102</v>
      </c>
      <c r="I111" s="16">
        <v>260</v>
      </c>
      <c r="J111" s="16">
        <v>124</v>
      </c>
      <c r="K111" s="16" t="str">
        <f t="shared" si="1"/>
        <v>0–130 Wh/km</v>
      </c>
      <c r="L111" s="16">
        <v>310</v>
      </c>
      <c r="M111" s="16" t="str">
        <f>IF(electric_vehicles_spec_2025_csv[[#This Row],[range_km]]&lt;=200, "0–200 km",IF(electric_vehicles_spec_2025_csv[[#This Row],[range_km]]&lt;=400, "201–400 km", "401+ km"))</f>
        <v>201–400 km</v>
      </c>
      <c r="N111" s="16">
        <v>9</v>
      </c>
      <c r="O111" s="16" t="str">
        <f>IF(electric_vehicles_spec_2025_csv[[#This Row],[acceleration_0_100_s]]&lt;4,"0–3.9 s",IF(electric_vehicles_spec_2025_csv[[#This Row],[acceleration_0_100_s]]&lt;6,"4.0–5.9 s",IF(electric_vehicles_spec_2025_csv[[#This Row],[acceleration_0_100_s]]&lt;8,"6.0–7.9 s","8.0+ s")))</f>
        <v>8.0+ s</v>
      </c>
      <c r="P111" s="16">
        <v>79</v>
      </c>
      <c r="Q111" s="16" t="str">
        <f>IF(electric_vehicles_spec_2025_csv[[#This Row],[fast_charging_power_kw_dc]]&lt;50,"0–49 kW",IF(electric_vehicles_spec_2025_csv[[#This Row],[fast_charging_power_kw_dc]]&lt;100,"50–99 kW",IF(electric_vehicles_spec_2025_csv[[#This Row],[fast_charging_power_kw_dc]]&lt;150,"100–149 kW","150+ kW")))</f>
        <v>50–99 kW</v>
      </c>
      <c r="R111" s="16" t="s">
        <v>25</v>
      </c>
      <c r="S111" s="16">
        <v>0</v>
      </c>
      <c r="T111" s="16" t="s">
        <v>34</v>
      </c>
      <c r="U111" s="16">
        <v>5</v>
      </c>
      <c r="V111" s="16" t="s">
        <v>27</v>
      </c>
      <c r="W111" s="16" t="s">
        <v>35</v>
      </c>
      <c r="X111" s="16">
        <v>4171</v>
      </c>
      <c r="Y111" s="16">
        <v>1781</v>
      </c>
      <c r="Z111" s="16">
        <v>1523</v>
      </c>
      <c r="AA111" s="16" t="s">
        <v>36</v>
      </c>
      <c r="AB111" s="16" t="s">
        <v>319</v>
      </c>
    </row>
    <row r="112" spans="1:28" x14ac:dyDescent="0.3">
      <c r="A112" s="16" t="s">
        <v>304</v>
      </c>
      <c r="B112" s="16" t="s">
        <v>320</v>
      </c>
      <c r="C112" s="16">
        <v>132</v>
      </c>
      <c r="D11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12" s="16">
        <v>43.8</v>
      </c>
      <c r="F112" s="16" t="str">
        <f>IF(electric_vehicles_spec_2025_csv[[#This Row],[battery_capacity_kWh]]&lt;=30, "0–30 kWh", IF(electric_vehicles_spec_2025_csv[[#This Row],[battery_capacity_kWh]]&lt;=60, "31–60 kWh", "61+ kWh"))</f>
        <v>31–60 kWh</v>
      </c>
      <c r="G112" s="16" t="s">
        <v>24</v>
      </c>
      <c r="H112" s="16"/>
      <c r="I112" s="16">
        <v>122</v>
      </c>
      <c r="J112" s="16">
        <v>136</v>
      </c>
      <c r="K112" s="16" t="str">
        <f t="shared" si="1"/>
        <v>131–160 Wh/km</v>
      </c>
      <c r="L112" s="16">
        <v>260</v>
      </c>
      <c r="M112" s="16" t="str">
        <f>IF(electric_vehicles_spec_2025_csv[[#This Row],[range_km]]&lt;=200, "0–200 km",IF(electric_vehicles_spec_2025_csv[[#This Row],[range_km]]&lt;=400, "201–400 km", "401+ km"))</f>
        <v>201–400 km</v>
      </c>
      <c r="N112" s="16">
        <v>11</v>
      </c>
      <c r="O112" s="16" t="str">
        <f>IF(electric_vehicles_spec_2025_csv[[#This Row],[acceleration_0_100_s]]&lt;4,"0–3.9 s",IF(electric_vehicles_spec_2025_csv[[#This Row],[acceleration_0_100_s]]&lt;6,"4.0–5.9 s",IF(electric_vehicles_spec_2025_csv[[#This Row],[acceleration_0_100_s]]&lt;8,"6.0–7.9 s","8.0+ s")))</f>
        <v>8.0+ s</v>
      </c>
      <c r="P112" s="16">
        <v>60</v>
      </c>
      <c r="Q112" s="16" t="str">
        <f>IF(electric_vehicles_spec_2025_csv[[#This Row],[fast_charging_power_kw_dc]]&lt;50,"0–49 kW",IF(electric_vehicles_spec_2025_csv[[#This Row],[fast_charging_power_kw_dc]]&lt;100,"50–99 kW",IF(electric_vehicles_spec_2025_csv[[#This Row],[fast_charging_power_kw_dc]]&lt;150,"100–149 kW","150+ kW")))</f>
        <v>50–99 kW</v>
      </c>
      <c r="R112" s="16" t="s">
        <v>25</v>
      </c>
      <c r="S112" s="16">
        <v>550</v>
      </c>
      <c r="T112" s="16" t="s">
        <v>321</v>
      </c>
      <c r="U112" s="16">
        <v>5</v>
      </c>
      <c r="V112" s="16" t="s">
        <v>27</v>
      </c>
      <c r="W112" s="16" t="s">
        <v>28</v>
      </c>
      <c r="X112" s="16">
        <v>3999</v>
      </c>
      <c r="Y112" s="16">
        <v>1763</v>
      </c>
      <c r="Z112" s="16">
        <v>1570</v>
      </c>
      <c r="AA112" s="16" t="s">
        <v>29</v>
      </c>
      <c r="AB112" s="16" t="s">
        <v>322</v>
      </c>
    </row>
    <row r="113" spans="1:28" x14ac:dyDescent="0.3">
      <c r="A113" s="16" t="s">
        <v>323</v>
      </c>
      <c r="B113" s="16" t="s">
        <v>324</v>
      </c>
      <c r="C113" s="16">
        <v>180</v>
      </c>
      <c r="D11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13" s="16">
        <v>79</v>
      </c>
      <c r="F113" s="16" t="str">
        <f>IF(electric_vehicles_spec_2025_csv[[#This Row],[battery_capacity_kWh]]&lt;=30, "0–30 kWh", IF(electric_vehicles_spec_2025_csv[[#This Row],[battery_capacity_kWh]]&lt;=60, "31–60 kWh", "61+ kWh"))</f>
        <v>61+ kWh</v>
      </c>
      <c r="G113" s="16" t="s">
        <v>24</v>
      </c>
      <c r="H113" s="16">
        <v>288</v>
      </c>
      <c r="I113" s="16">
        <v>679</v>
      </c>
      <c r="J113" s="16">
        <v>148</v>
      </c>
      <c r="K113" s="16" t="str">
        <f t="shared" si="1"/>
        <v>131–160 Wh/km</v>
      </c>
      <c r="L113" s="16">
        <v>455</v>
      </c>
      <c r="M113" s="16" t="str">
        <f>IF(electric_vehicles_spec_2025_csv[[#This Row],[range_km]]&lt;=200, "0–200 km",IF(electric_vehicles_spec_2025_csv[[#This Row],[range_km]]&lt;=400, "201–400 km", "401+ km"))</f>
        <v>401+ km</v>
      </c>
      <c r="N113" s="16">
        <v>5.3</v>
      </c>
      <c r="O113" s="16" t="str">
        <f>IF(electric_vehicles_spec_2025_csv[[#This Row],[acceleration_0_100_s]]&lt;4,"0–3.9 s",IF(electric_vehicles_spec_2025_csv[[#This Row],[acceleration_0_100_s]]&lt;6,"4.0–5.9 s",IF(electric_vehicles_spec_2025_csv[[#This Row],[acceleration_0_100_s]]&lt;8,"6.0–7.9 s","8.0+ s")))</f>
        <v>4.0–5.9 s</v>
      </c>
      <c r="P113" s="16">
        <v>135</v>
      </c>
      <c r="Q113" s="16" t="str">
        <f>IF(electric_vehicles_spec_2025_csv[[#This Row],[fast_charging_power_kw_dc]]&lt;50,"0–49 kW",IF(electric_vehicles_spec_2025_csv[[#This Row],[fast_charging_power_kw_dc]]&lt;100,"50–99 kW",IF(electric_vehicles_spec_2025_csv[[#This Row],[fast_charging_power_kw_dc]]&lt;150,"100–149 kW","150+ kW")))</f>
        <v>100–149 kW</v>
      </c>
      <c r="R113" s="16" t="s">
        <v>25</v>
      </c>
      <c r="S113" s="16">
        <v>1200</v>
      </c>
      <c r="T113" s="16" t="s">
        <v>325</v>
      </c>
      <c r="U113" s="16">
        <v>5</v>
      </c>
      <c r="V113" s="16" t="s">
        <v>70</v>
      </c>
      <c r="W113" s="16" t="s">
        <v>137</v>
      </c>
      <c r="X113" s="16">
        <v>4643</v>
      </c>
      <c r="Y113" s="16">
        <v>1872</v>
      </c>
      <c r="Z113" s="16">
        <v>1626</v>
      </c>
      <c r="AA113" s="16" t="s">
        <v>73</v>
      </c>
      <c r="AB113" s="16" t="s">
        <v>326</v>
      </c>
    </row>
    <row r="114" spans="1:28" x14ac:dyDescent="0.3">
      <c r="A114" s="16" t="s">
        <v>323</v>
      </c>
      <c r="B114" s="16" t="s">
        <v>327</v>
      </c>
      <c r="C114" s="16">
        <v>180</v>
      </c>
      <c r="D11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14" s="16">
        <v>77</v>
      </c>
      <c r="F114" s="16" t="str">
        <f>IF(electric_vehicles_spec_2025_csv[[#This Row],[battery_capacity_kWh]]&lt;=30, "0–30 kWh", IF(electric_vehicles_spec_2025_csv[[#This Row],[battery_capacity_kWh]]&lt;=60, "31–60 kWh", "61+ kWh"))</f>
        <v>61+ kWh</v>
      </c>
      <c r="G114" s="16" t="s">
        <v>24</v>
      </c>
      <c r="H114" s="16">
        <v>288</v>
      </c>
      <c r="I114" s="16">
        <v>545</v>
      </c>
      <c r="J114" s="16">
        <v>135</v>
      </c>
      <c r="K114" s="16" t="str">
        <f t="shared" si="1"/>
        <v>131–160 Wh/km</v>
      </c>
      <c r="L114" s="16">
        <v>455</v>
      </c>
      <c r="M114" s="16" t="str">
        <f>IF(electric_vehicles_spec_2025_csv[[#This Row],[range_km]]&lt;=200, "0–200 km",IF(electric_vehicles_spec_2025_csv[[#This Row],[range_km]]&lt;=400, "201–400 km", "401+ km"))</f>
        <v>401+ km</v>
      </c>
      <c r="N114" s="16">
        <v>6.4</v>
      </c>
      <c r="O114" s="16" t="str">
        <f>IF(electric_vehicles_spec_2025_csv[[#This Row],[acceleration_0_100_s]]&lt;4,"0–3.9 s",IF(electric_vehicles_spec_2025_csv[[#This Row],[acceleration_0_100_s]]&lt;6,"4.0–5.9 s",IF(electric_vehicles_spec_2025_csv[[#This Row],[acceleration_0_100_s]]&lt;8,"6.0–7.9 s","8.0+ s")))</f>
        <v>6.0–7.9 s</v>
      </c>
      <c r="P114" s="16">
        <v>120</v>
      </c>
      <c r="Q114" s="16" t="str">
        <f>IF(electric_vehicles_spec_2025_csv[[#This Row],[fast_charging_power_kw_dc]]&lt;50,"0–49 kW",IF(electric_vehicles_spec_2025_csv[[#This Row],[fast_charging_power_kw_dc]]&lt;100,"50–99 kW",IF(electric_vehicles_spec_2025_csv[[#This Row],[fast_charging_power_kw_dc]]&lt;150,"100–149 kW","150+ kW")))</f>
        <v>100–149 kW</v>
      </c>
      <c r="R114" s="16" t="s">
        <v>25</v>
      </c>
      <c r="S114" s="16">
        <v>1000</v>
      </c>
      <c r="T114" s="16" t="s">
        <v>325</v>
      </c>
      <c r="U114" s="16">
        <v>5</v>
      </c>
      <c r="V114" s="16" t="s">
        <v>63</v>
      </c>
      <c r="W114" s="16" t="s">
        <v>137</v>
      </c>
      <c r="X114" s="16">
        <v>4643</v>
      </c>
      <c r="Y114" s="16">
        <v>1872</v>
      </c>
      <c r="Z114" s="16">
        <v>1626</v>
      </c>
      <c r="AA114" s="16" t="s">
        <v>73</v>
      </c>
      <c r="AB114" s="16" t="s">
        <v>328</v>
      </c>
    </row>
    <row r="115" spans="1:28" x14ac:dyDescent="0.3">
      <c r="A115" s="16" t="s">
        <v>323</v>
      </c>
      <c r="B115" s="16" t="s">
        <v>329</v>
      </c>
      <c r="C115" s="16">
        <v>160</v>
      </c>
      <c r="D11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15" s="16">
        <v>52</v>
      </c>
      <c r="F115" s="16" t="str">
        <f>IF(electric_vehicles_spec_2025_csv[[#This Row],[battery_capacity_kWh]]&lt;=30, "0–30 kWh", IF(electric_vehicles_spec_2025_csv[[#This Row],[battery_capacity_kWh]]&lt;=60, "31–60 kWh", "61+ kWh"))</f>
        <v>31–60 kWh</v>
      </c>
      <c r="G115" s="16" t="s">
        <v>24</v>
      </c>
      <c r="H115" s="16">
        <v>192</v>
      </c>
      <c r="I115" s="16">
        <v>310</v>
      </c>
      <c r="J115" s="16">
        <v>163</v>
      </c>
      <c r="K115" s="16" t="str">
        <f t="shared" si="1"/>
        <v>161+ Wh/km</v>
      </c>
      <c r="L115" s="16">
        <v>320</v>
      </c>
      <c r="M115" s="16" t="str">
        <f>IF(electric_vehicles_spec_2025_csv[[#This Row],[range_km]]&lt;=200, "0–200 km",IF(electric_vehicles_spec_2025_csv[[#This Row],[range_km]]&lt;=400, "201–400 km", "401+ km"))</f>
        <v>201–400 km</v>
      </c>
      <c r="N115" s="16">
        <v>9</v>
      </c>
      <c r="O115" s="16" t="str">
        <f>IF(electric_vehicles_spec_2025_csv[[#This Row],[acceleration_0_100_s]]&lt;4,"0–3.9 s",IF(electric_vehicles_spec_2025_csv[[#This Row],[acceleration_0_100_s]]&lt;6,"4.0–5.9 s",IF(electric_vehicles_spec_2025_csv[[#This Row],[acceleration_0_100_s]]&lt;8,"6.0–7.9 s","8.0+ s")))</f>
        <v>8.0+ s</v>
      </c>
      <c r="P115" s="16">
        <v>85</v>
      </c>
      <c r="Q115" s="16" t="str">
        <f>IF(electric_vehicles_spec_2025_csv[[#This Row],[fast_charging_power_kw_dc]]&lt;50,"0–49 kW",IF(electric_vehicles_spec_2025_csv[[#This Row],[fast_charging_power_kw_dc]]&lt;100,"50–99 kW",IF(electric_vehicles_spec_2025_csv[[#This Row],[fast_charging_power_kw_dc]]&lt;150,"100–149 kW","150+ kW")))</f>
        <v>50–99 kW</v>
      </c>
      <c r="R115" s="16" t="s">
        <v>25</v>
      </c>
      <c r="S115" s="16">
        <v>1000</v>
      </c>
      <c r="T115" s="16" t="s">
        <v>325</v>
      </c>
      <c r="U115" s="16">
        <v>5</v>
      </c>
      <c r="V115" s="16" t="s">
        <v>63</v>
      </c>
      <c r="W115" s="16" t="s">
        <v>137</v>
      </c>
      <c r="X115" s="16">
        <v>4643</v>
      </c>
      <c r="Y115" s="16">
        <v>1872</v>
      </c>
      <c r="Z115" s="16">
        <v>1626</v>
      </c>
      <c r="AA115" s="16" t="s">
        <v>73</v>
      </c>
      <c r="AB115" s="16" t="s">
        <v>330</v>
      </c>
    </row>
    <row r="116" spans="1:28" x14ac:dyDescent="0.3">
      <c r="A116" s="16" t="s">
        <v>323</v>
      </c>
      <c r="B116" s="16" t="s">
        <v>331</v>
      </c>
      <c r="C116" s="16">
        <v>180</v>
      </c>
      <c r="D11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16" s="16">
        <v>79</v>
      </c>
      <c r="F116" s="16" t="str">
        <f>IF(electric_vehicles_spec_2025_csv[[#This Row],[battery_capacity_kWh]]&lt;=30, "0–30 kWh", IF(electric_vehicles_spec_2025_csv[[#This Row],[battery_capacity_kWh]]&lt;=60, "31–60 kWh", "61+ kWh"))</f>
        <v>61+ kWh</v>
      </c>
      <c r="G116" s="16" t="s">
        <v>24</v>
      </c>
      <c r="H116" s="16">
        <v>288</v>
      </c>
      <c r="I116" s="16">
        <v>679</v>
      </c>
      <c r="J116" s="16">
        <v>153</v>
      </c>
      <c r="K116" s="16" t="str">
        <f t="shared" si="1"/>
        <v>131–160 Wh/km</v>
      </c>
      <c r="L116" s="16">
        <v>440</v>
      </c>
      <c r="M116" s="16" t="str">
        <f>IF(electric_vehicles_spec_2025_csv[[#This Row],[range_km]]&lt;=200, "0–200 km",IF(electric_vehicles_spec_2025_csv[[#This Row],[range_km]]&lt;=400, "201–400 km", "401+ km"))</f>
        <v>401+ km</v>
      </c>
      <c r="N116" s="16">
        <v>5.3</v>
      </c>
      <c r="O116" s="16" t="str">
        <f>IF(electric_vehicles_spec_2025_csv[[#This Row],[acceleration_0_100_s]]&lt;4,"0–3.9 s",IF(electric_vehicles_spec_2025_csv[[#This Row],[acceleration_0_100_s]]&lt;6,"4.0–5.9 s",IF(electric_vehicles_spec_2025_csv[[#This Row],[acceleration_0_100_s]]&lt;8,"6.0–7.9 s","8.0+ s")))</f>
        <v>4.0–5.9 s</v>
      </c>
      <c r="P116" s="16">
        <v>135</v>
      </c>
      <c r="Q116" s="16" t="str">
        <f>IF(electric_vehicles_spec_2025_csv[[#This Row],[fast_charging_power_kw_dc]]&lt;50,"0–49 kW",IF(electric_vehicles_spec_2025_csv[[#This Row],[fast_charging_power_kw_dc]]&lt;100,"50–99 kW",IF(electric_vehicles_spec_2025_csv[[#This Row],[fast_charging_power_kw_dc]]&lt;150,"100–149 kW","150+ kW")))</f>
        <v>100–149 kW</v>
      </c>
      <c r="R116" s="16" t="s">
        <v>25</v>
      </c>
      <c r="S116" s="16">
        <v>1200</v>
      </c>
      <c r="T116" s="16" t="s">
        <v>332</v>
      </c>
      <c r="U116" s="16">
        <v>5</v>
      </c>
      <c r="V116" s="16" t="s">
        <v>70</v>
      </c>
      <c r="W116" s="16" t="s">
        <v>43</v>
      </c>
      <c r="X116" s="16">
        <v>4468</v>
      </c>
      <c r="Y116" s="16">
        <v>1871</v>
      </c>
      <c r="Z116" s="16">
        <v>1639</v>
      </c>
      <c r="AA116" s="16" t="s">
        <v>36</v>
      </c>
      <c r="AB116" s="16" t="s">
        <v>333</v>
      </c>
    </row>
    <row r="117" spans="1:28" x14ac:dyDescent="0.3">
      <c r="A117" s="16" t="s">
        <v>323</v>
      </c>
      <c r="B117" s="16" t="s">
        <v>334</v>
      </c>
      <c r="C117" s="16">
        <v>180</v>
      </c>
      <c r="D11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17" s="16">
        <v>77</v>
      </c>
      <c r="F117" s="16" t="str">
        <f>IF(electric_vehicles_spec_2025_csv[[#This Row],[battery_capacity_kWh]]&lt;=30, "0–30 kWh", IF(electric_vehicles_spec_2025_csv[[#This Row],[battery_capacity_kWh]]&lt;=60, "31–60 kWh", "61+ kWh"))</f>
        <v>61+ kWh</v>
      </c>
      <c r="G117" s="16" t="s">
        <v>24</v>
      </c>
      <c r="H117" s="16">
        <v>288</v>
      </c>
      <c r="I117" s="16">
        <v>545</v>
      </c>
      <c r="J117" s="16">
        <v>139</v>
      </c>
      <c r="K117" s="16" t="str">
        <f t="shared" si="1"/>
        <v>131–160 Wh/km</v>
      </c>
      <c r="L117" s="16">
        <v>435</v>
      </c>
      <c r="M117" s="16" t="str">
        <f>IF(electric_vehicles_spec_2025_csv[[#This Row],[range_km]]&lt;=200, "0–200 km",IF(electric_vehicles_spec_2025_csv[[#This Row],[range_km]]&lt;=400, "201–400 km", "401+ km"))</f>
        <v>401+ km</v>
      </c>
      <c r="N117" s="16">
        <v>6.4</v>
      </c>
      <c r="O117" s="16" t="str">
        <f>IF(electric_vehicles_spec_2025_csv[[#This Row],[acceleration_0_100_s]]&lt;4,"0–3.9 s",IF(electric_vehicles_spec_2025_csv[[#This Row],[acceleration_0_100_s]]&lt;6,"4.0–5.9 s",IF(electric_vehicles_spec_2025_csv[[#This Row],[acceleration_0_100_s]]&lt;8,"6.0–7.9 s","8.0+ s")))</f>
        <v>6.0–7.9 s</v>
      </c>
      <c r="P117" s="16">
        <v>120</v>
      </c>
      <c r="Q117" s="16" t="str">
        <f>IF(electric_vehicles_spec_2025_csv[[#This Row],[fast_charging_power_kw_dc]]&lt;50,"0–49 kW",IF(electric_vehicles_spec_2025_csv[[#This Row],[fast_charging_power_kw_dc]]&lt;100,"50–99 kW",IF(electric_vehicles_spec_2025_csv[[#This Row],[fast_charging_power_kw_dc]]&lt;150,"100–149 kW","150+ kW")))</f>
        <v>100–149 kW</v>
      </c>
      <c r="R117" s="16" t="s">
        <v>25</v>
      </c>
      <c r="S117" s="16">
        <v>1000</v>
      </c>
      <c r="T117" s="16" t="s">
        <v>332</v>
      </c>
      <c r="U117" s="16">
        <v>5</v>
      </c>
      <c r="V117" s="16" t="s">
        <v>63</v>
      </c>
      <c r="W117" s="16" t="s">
        <v>43</v>
      </c>
      <c r="X117" s="16">
        <v>4468</v>
      </c>
      <c r="Y117" s="16">
        <v>1871</v>
      </c>
      <c r="Z117" s="16">
        <v>1630</v>
      </c>
      <c r="AA117" s="16" t="s">
        <v>36</v>
      </c>
      <c r="AB117" s="16" t="s">
        <v>335</v>
      </c>
    </row>
    <row r="118" spans="1:28" x14ac:dyDescent="0.3">
      <c r="A118" s="16" t="s">
        <v>323</v>
      </c>
      <c r="B118" s="16" t="s">
        <v>336</v>
      </c>
      <c r="C118" s="16">
        <v>160</v>
      </c>
      <c r="D11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18" s="16">
        <v>52</v>
      </c>
      <c r="F118" s="16" t="str">
        <f>IF(electric_vehicles_spec_2025_csv[[#This Row],[battery_capacity_kWh]]&lt;=30, "0–30 kWh", IF(electric_vehicles_spec_2025_csv[[#This Row],[battery_capacity_kWh]]&lt;=60, "31–60 kWh", "61+ kWh"))</f>
        <v>31–60 kWh</v>
      </c>
      <c r="G118" s="16" t="s">
        <v>24</v>
      </c>
      <c r="H118" s="16">
        <v>192</v>
      </c>
      <c r="I118" s="16">
        <v>310</v>
      </c>
      <c r="J118" s="16">
        <v>137</v>
      </c>
      <c r="K118" s="16" t="str">
        <f t="shared" si="1"/>
        <v>131–160 Wh/km</v>
      </c>
      <c r="L118" s="16">
        <v>305</v>
      </c>
      <c r="M118" s="16" t="str">
        <f>IF(electric_vehicles_spec_2025_csv[[#This Row],[range_km]]&lt;=200, "0–200 km",IF(electric_vehicles_spec_2025_csv[[#This Row],[range_km]]&lt;=400, "201–400 km", "401+ km"))</f>
        <v>201–400 km</v>
      </c>
      <c r="N118" s="16">
        <v>8.6999999999999993</v>
      </c>
      <c r="O118" s="16" t="str">
        <f>IF(electric_vehicles_spec_2025_csv[[#This Row],[acceleration_0_100_s]]&lt;4,"0–3.9 s",IF(electric_vehicles_spec_2025_csv[[#This Row],[acceleration_0_100_s]]&lt;6,"4.0–5.9 s",IF(electric_vehicles_spec_2025_csv[[#This Row],[acceleration_0_100_s]]&lt;8,"6.0–7.9 s","8.0+ s")))</f>
        <v>8.0+ s</v>
      </c>
      <c r="P118" s="16">
        <v>85</v>
      </c>
      <c r="Q118" s="16" t="str">
        <f>IF(electric_vehicles_spec_2025_csv[[#This Row],[fast_charging_power_kw_dc]]&lt;50,"0–49 kW",IF(electric_vehicles_spec_2025_csv[[#This Row],[fast_charging_power_kw_dc]]&lt;100,"50–99 kW",IF(electric_vehicles_spec_2025_csv[[#This Row],[fast_charging_power_kw_dc]]&lt;150,"100–149 kW","150+ kW")))</f>
        <v>50–99 kW</v>
      </c>
      <c r="R118" s="16" t="s">
        <v>25</v>
      </c>
      <c r="S118" s="16">
        <v>1000</v>
      </c>
      <c r="T118" s="16" t="s">
        <v>332</v>
      </c>
      <c r="U118" s="16">
        <v>5</v>
      </c>
      <c r="V118" s="16" t="s">
        <v>63</v>
      </c>
      <c r="W118" s="16" t="s">
        <v>43</v>
      </c>
      <c r="X118" s="16">
        <v>4468</v>
      </c>
      <c r="Y118" s="16">
        <v>1871</v>
      </c>
      <c r="Z118" s="16">
        <v>1630</v>
      </c>
      <c r="AA118" s="16" t="s">
        <v>36</v>
      </c>
      <c r="AB118" s="16" t="s">
        <v>337</v>
      </c>
    </row>
    <row r="119" spans="1:28" x14ac:dyDescent="0.3">
      <c r="A119" s="16" t="s">
        <v>323</v>
      </c>
      <c r="B119" s="16" t="s">
        <v>338</v>
      </c>
      <c r="C119" s="16">
        <v>180</v>
      </c>
      <c r="D11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19" s="16">
        <v>88</v>
      </c>
      <c r="F119" s="16" t="str">
        <f>IF(electric_vehicles_spec_2025_csv[[#This Row],[battery_capacity_kWh]]&lt;=30, "0–30 kWh", IF(electric_vehicles_spec_2025_csv[[#This Row],[battery_capacity_kWh]]&lt;=60, "31–60 kWh", "61+ kWh"))</f>
        <v>61+ kWh</v>
      </c>
      <c r="G119" s="16" t="s">
        <v>24</v>
      </c>
      <c r="H119" s="16"/>
      <c r="I119" s="16">
        <v>675</v>
      </c>
      <c r="J119" s="16">
        <v>160</v>
      </c>
      <c r="K119" s="16" t="str">
        <f t="shared" si="1"/>
        <v>131–160 Wh/km</v>
      </c>
      <c r="L119" s="16">
        <v>435</v>
      </c>
      <c r="M119" s="16" t="str">
        <f>IF(electric_vehicles_spec_2025_csv[[#This Row],[range_km]]&lt;=200, "0–200 km",IF(electric_vehicles_spec_2025_csv[[#This Row],[range_km]]&lt;=400, "201–400 km", "401+ km"))</f>
        <v>401+ km</v>
      </c>
      <c r="N119" s="16">
        <v>4.8</v>
      </c>
      <c r="O119" s="16" t="str">
        <f>IF(electric_vehicles_spec_2025_csv[[#This Row],[acceleration_0_100_s]]&lt;4,"0–3.9 s",IF(electric_vehicles_spec_2025_csv[[#This Row],[acceleration_0_100_s]]&lt;6,"4.0–5.9 s",IF(electric_vehicles_spec_2025_csv[[#This Row],[acceleration_0_100_s]]&lt;8,"6.0–7.9 s","8.0+ s")))</f>
        <v>4.0–5.9 s</v>
      </c>
      <c r="P119" s="16">
        <v>105</v>
      </c>
      <c r="Q119" s="16" t="str">
        <f>IF(electric_vehicles_spec_2025_csv[[#This Row],[fast_charging_power_kw_dc]]&lt;50,"0–49 kW",IF(electric_vehicles_spec_2025_csv[[#This Row],[fast_charging_power_kw_dc]]&lt;100,"50–99 kW",IF(electric_vehicles_spec_2025_csv[[#This Row],[fast_charging_power_kw_dc]]&lt;150,"100–149 kW","150+ kW")))</f>
        <v>100–149 kW</v>
      </c>
      <c r="R119" s="16" t="s">
        <v>25</v>
      </c>
      <c r="S119" s="16">
        <v>1500</v>
      </c>
      <c r="T119" s="16" t="s">
        <v>339</v>
      </c>
      <c r="U119" s="16">
        <v>5</v>
      </c>
      <c r="V119" s="16" t="s">
        <v>70</v>
      </c>
      <c r="W119" s="16" t="s">
        <v>99</v>
      </c>
      <c r="X119" s="16">
        <v>4713</v>
      </c>
      <c r="Y119" s="16">
        <v>1881</v>
      </c>
      <c r="Z119" s="16">
        <v>1624</v>
      </c>
      <c r="AA119" s="16" t="s">
        <v>36</v>
      </c>
      <c r="AB119" s="16" t="s">
        <v>340</v>
      </c>
    </row>
    <row r="120" spans="1:28" x14ac:dyDescent="0.3">
      <c r="A120" s="16" t="s">
        <v>323</v>
      </c>
      <c r="B120" s="16" t="s">
        <v>341</v>
      </c>
      <c r="C120" s="16">
        <v>180</v>
      </c>
      <c r="D12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20" s="16">
        <v>91</v>
      </c>
      <c r="F120" s="16" t="str">
        <f>IF(electric_vehicles_spec_2025_csv[[#This Row],[battery_capacity_kWh]]&lt;=30, "0–30 kWh", IF(electric_vehicles_spec_2025_csv[[#This Row],[battery_capacity_kWh]]&lt;=60, "31–60 kWh", "61+ kWh"))</f>
        <v>61+ kWh</v>
      </c>
      <c r="G120" s="16" t="s">
        <v>24</v>
      </c>
      <c r="H120" s="16">
        <v>376</v>
      </c>
      <c r="I120" s="16">
        <v>675</v>
      </c>
      <c r="J120" s="16">
        <v>165</v>
      </c>
      <c r="K120" s="16" t="str">
        <f t="shared" si="1"/>
        <v>161+ Wh/km</v>
      </c>
      <c r="L120" s="16">
        <v>445</v>
      </c>
      <c r="M120" s="16" t="str">
        <f>IF(electric_vehicles_spec_2025_csv[[#This Row],[range_km]]&lt;=200, "0–200 km",IF(electric_vehicles_spec_2025_csv[[#This Row],[range_km]]&lt;=400, "201–400 km", "401+ km"))</f>
        <v>401+ km</v>
      </c>
      <c r="N120" s="16">
        <v>4.5999999999999996</v>
      </c>
      <c r="O120" s="16" t="str">
        <f>IF(electric_vehicles_spec_2025_csv[[#This Row],[acceleration_0_100_s]]&lt;4,"0–3.9 s",IF(electric_vehicles_spec_2025_csv[[#This Row],[acceleration_0_100_s]]&lt;6,"4.0–5.9 s",IF(electric_vehicles_spec_2025_csv[[#This Row],[acceleration_0_100_s]]&lt;8,"6.0–7.9 s","8.0+ s")))</f>
        <v>4.0–5.9 s</v>
      </c>
      <c r="P120" s="16">
        <v>115</v>
      </c>
      <c r="Q120" s="16" t="str">
        <f>IF(electric_vehicles_spec_2025_csv[[#This Row],[fast_charging_power_kw_dc]]&lt;50,"0–49 kW",IF(electric_vehicles_spec_2025_csv[[#This Row],[fast_charging_power_kw_dc]]&lt;100,"50–99 kW",IF(electric_vehicles_spec_2025_csv[[#This Row],[fast_charging_power_kw_dc]]&lt;150,"100–149 kW","150+ kW")))</f>
        <v>100–149 kW</v>
      </c>
      <c r="R120" s="16" t="s">
        <v>25</v>
      </c>
      <c r="S120" s="16">
        <v>1500</v>
      </c>
      <c r="T120" s="16" t="s">
        <v>339</v>
      </c>
      <c r="U120" s="16">
        <v>5</v>
      </c>
      <c r="V120" s="16" t="s">
        <v>70</v>
      </c>
      <c r="W120" s="16" t="s">
        <v>99</v>
      </c>
      <c r="X120" s="16">
        <v>4713</v>
      </c>
      <c r="Y120" s="16">
        <v>1881</v>
      </c>
      <c r="Z120" s="16">
        <v>1624</v>
      </c>
      <c r="AA120" s="16" t="s">
        <v>36</v>
      </c>
      <c r="AB120" s="16" t="s">
        <v>342</v>
      </c>
    </row>
    <row r="121" spans="1:28" x14ac:dyDescent="0.3">
      <c r="A121" s="16" t="s">
        <v>323</v>
      </c>
      <c r="B121" s="16" t="s">
        <v>343</v>
      </c>
      <c r="C121" s="16">
        <v>180</v>
      </c>
      <c r="D12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21" s="16">
        <v>88</v>
      </c>
      <c r="F121" s="16" t="str">
        <f>IF(electric_vehicles_spec_2025_csv[[#This Row],[battery_capacity_kWh]]&lt;=30, "0–30 kWh", IF(electric_vehicles_spec_2025_csv[[#This Row],[battery_capacity_kWh]]&lt;=60, "31–60 kWh", "61+ kWh"))</f>
        <v>61+ kWh</v>
      </c>
      <c r="G121" s="16" t="s">
        <v>24</v>
      </c>
      <c r="H121" s="16"/>
      <c r="I121" s="16">
        <v>525</v>
      </c>
      <c r="J121" s="16">
        <v>147</v>
      </c>
      <c r="K121" s="16" t="str">
        <f t="shared" si="1"/>
        <v>131–160 Wh/km</v>
      </c>
      <c r="L121" s="16">
        <v>475</v>
      </c>
      <c r="M121" s="16" t="str">
        <f>IF(electric_vehicles_spec_2025_csv[[#This Row],[range_km]]&lt;=200, "0–200 km",IF(electric_vehicles_spec_2025_csv[[#This Row],[range_km]]&lt;=400, "201–400 km", "401+ km"))</f>
        <v>401+ km</v>
      </c>
      <c r="N121" s="16">
        <v>6.1</v>
      </c>
      <c r="O121" s="16" t="str">
        <f>IF(electric_vehicles_spec_2025_csv[[#This Row],[acceleration_0_100_s]]&lt;4,"0–3.9 s",IF(electric_vehicles_spec_2025_csv[[#This Row],[acceleration_0_100_s]]&lt;6,"4.0–5.9 s",IF(electric_vehicles_spec_2025_csv[[#This Row],[acceleration_0_100_s]]&lt;8,"6.0–7.9 s","8.0+ s")))</f>
        <v>6.0–7.9 s</v>
      </c>
      <c r="P121" s="16">
        <v>105</v>
      </c>
      <c r="Q121" s="16" t="str">
        <f>IF(electric_vehicles_spec_2025_csv[[#This Row],[fast_charging_power_kw_dc]]&lt;50,"0–49 kW",IF(electric_vehicles_spec_2025_csv[[#This Row],[fast_charging_power_kw_dc]]&lt;100,"50–99 kW",IF(electric_vehicles_spec_2025_csv[[#This Row],[fast_charging_power_kw_dc]]&lt;150,"100–149 kW","150+ kW")))</f>
        <v>100–149 kW</v>
      </c>
      <c r="R121" s="16" t="s">
        <v>25</v>
      </c>
      <c r="S121" s="16">
        <v>1500</v>
      </c>
      <c r="T121" s="16" t="s">
        <v>339</v>
      </c>
      <c r="U121" s="16">
        <v>5</v>
      </c>
      <c r="V121" s="16" t="s">
        <v>63</v>
      </c>
      <c r="W121" s="16" t="s">
        <v>99</v>
      </c>
      <c r="X121" s="16">
        <v>4713</v>
      </c>
      <c r="Y121" s="16">
        <v>1881</v>
      </c>
      <c r="Z121" s="16">
        <v>1624</v>
      </c>
      <c r="AA121" s="16" t="s">
        <v>36</v>
      </c>
      <c r="AB121" s="16" t="s">
        <v>344</v>
      </c>
    </row>
    <row r="122" spans="1:28" x14ac:dyDescent="0.3">
      <c r="A122" s="16" t="s">
        <v>323</v>
      </c>
      <c r="B122" s="16" t="s">
        <v>345</v>
      </c>
      <c r="C122" s="16">
        <v>180</v>
      </c>
      <c r="D12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22" s="16">
        <v>91</v>
      </c>
      <c r="F122" s="16" t="str">
        <f>IF(electric_vehicles_spec_2025_csv[[#This Row],[battery_capacity_kWh]]&lt;=30, "0–30 kWh", IF(electric_vehicles_spec_2025_csv[[#This Row],[battery_capacity_kWh]]&lt;=60, "31–60 kWh", "61+ kWh"))</f>
        <v>61+ kWh</v>
      </c>
      <c r="G122" s="16" t="s">
        <v>24</v>
      </c>
      <c r="H122" s="16">
        <v>376</v>
      </c>
      <c r="I122" s="16">
        <v>525</v>
      </c>
      <c r="J122" s="16">
        <v>152</v>
      </c>
      <c r="K122" s="16" t="str">
        <f t="shared" si="1"/>
        <v>131–160 Wh/km</v>
      </c>
      <c r="L122" s="16">
        <v>480</v>
      </c>
      <c r="M122" s="16" t="str">
        <f>IF(electric_vehicles_spec_2025_csv[[#This Row],[range_km]]&lt;=200, "0–200 km",IF(electric_vehicles_spec_2025_csv[[#This Row],[range_km]]&lt;=400, "201–400 km", "401+ km"))</f>
        <v>401+ km</v>
      </c>
      <c r="N122" s="16">
        <v>5.9</v>
      </c>
      <c r="O122" s="16" t="str">
        <f>IF(electric_vehicles_spec_2025_csv[[#This Row],[acceleration_0_100_s]]&lt;4,"0–3.9 s",IF(electric_vehicles_spec_2025_csv[[#This Row],[acceleration_0_100_s]]&lt;6,"4.0–5.9 s",IF(electric_vehicles_spec_2025_csv[[#This Row],[acceleration_0_100_s]]&lt;8,"6.0–7.9 s","8.0+ s")))</f>
        <v>4.0–5.9 s</v>
      </c>
      <c r="P122" s="16">
        <v>115</v>
      </c>
      <c r="Q122" s="16" t="str">
        <f>IF(electric_vehicles_spec_2025_csv[[#This Row],[fast_charging_power_kw_dc]]&lt;50,"0–49 kW",IF(electric_vehicles_spec_2025_csv[[#This Row],[fast_charging_power_kw_dc]]&lt;100,"50–99 kW",IF(electric_vehicles_spec_2025_csv[[#This Row],[fast_charging_power_kw_dc]]&lt;150,"100–149 kW","150+ kW")))</f>
        <v>100–149 kW</v>
      </c>
      <c r="R122" s="16" t="s">
        <v>25</v>
      </c>
      <c r="S122" s="16">
        <v>1500</v>
      </c>
      <c r="T122" s="16" t="s">
        <v>339</v>
      </c>
      <c r="U122" s="16">
        <v>5</v>
      </c>
      <c r="V122" s="16" t="s">
        <v>63</v>
      </c>
      <c r="W122" s="16" t="s">
        <v>99</v>
      </c>
      <c r="X122" s="16">
        <v>4713</v>
      </c>
      <c r="Y122" s="16">
        <v>1881</v>
      </c>
      <c r="Z122" s="16">
        <v>1624</v>
      </c>
      <c r="AA122" s="16" t="s">
        <v>36</v>
      </c>
      <c r="AB122" s="16" t="s">
        <v>346</v>
      </c>
    </row>
    <row r="123" spans="1:28" x14ac:dyDescent="0.3">
      <c r="A123" s="16" t="s">
        <v>323</v>
      </c>
      <c r="B123" s="16" t="s">
        <v>347</v>
      </c>
      <c r="C123" s="16">
        <v>200</v>
      </c>
      <c r="D12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23" s="16">
        <v>91</v>
      </c>
      <c r="F123" s="16" t="str">
        <f>IF(electric_vehicles_spec_2025_csv[[#This Row],[battery_capacity_kWh]]&lt;=30, "0–30 kWh", IF(electric_vehicles_spec_2025_csv[[#This Row],[battery_capacity_kWh]]&lt;=60, "31–60 kWh", "61+ kWh"))</f>
        <v>61+ kWh</v>
      </c>
      <c r="G123" s="16" t="s">
        <v>24</v>
      </c>
      <c r="H123" s="16">
        <v>376</v>
      </c>
      <c r="I123" s="16">
        <v>950</v>
      </c>
      <c r="J123" s="16">
        <v>177</v>
      </c>
      <c r="K123" s="16" t="str">
        <f t="shared" si="1"/>
        <v>161+ Wh/km</v>
      </c>
      <c r="L123" s="16">
        <v>425</v>
      </c>
      <c r="M123" s="16" t="str">
        <f>IF(electric_vehicles_spec_2025_csv[[#This Row],[range_km]]&lt;=200, "0–200 km",IF(electric_vehicles_spec_2025_csv[[#This Row],[range_km]]&lt;=400, "201–400 km", "401+ km"))</f>
        <v>401+ km</v>
      </c>
      <c r="N123" s="16">
        <v>3.8</v>
      </c>
      <c r="O123" s="16" t="str">
        <f>IF(electric_vehicles_spec_2025_csv[[#This Row],[acceleration_0_100_s]]&lt;4,"0–3.9 s",IF(electric_vehicles_spec_2025_csv[[#This Row],[acceleration_0_100_s]]&lt;6,"4.0–5.9 s",IF(electric_vehicles_spec_2025_csv[[#This Row],[acceleration_0_100_s]]&lt;8,"6.0–7.9 s","8.0+ s")))</f>
        <v>0–3.9 s</v>
      </c>
      <c r="P123" s="16">
        <v>115</v>
      </c>
      <c r="Q123" s="16" t="str">
        <f>IF(electric_vehicles_spec_2025_csv[[#This Row],[fast_charging_power_kw_dc]]&lt;50,"0–49 kW",IF(electric_vehicles_spec_2025_csv[[#This Row],[fast_charging_power_kw_dc]]&lt;100,"50–99 kW",IF(electric_vehicles_spec_2025_csv[[#This Row],[fast_charging_power_kw_dc]]&lt;150,"100–149 kW","150+ kW")))</f>
        <v>100–149 kW</v>
      </c>
      <c r="R123" s="16" t="s">
        <v>25</v>
      </c>
      <c r="S123" s="16">
        <v>750</v>
      </c>
      <c r="T123" s="16" t="s">
        <v>339</v>
      </c>
      <c r="U123" s="16">
        <v>5</v>
      </c>
      <c r="V123" s="16" t="s">
        <v>70</v>
      </c>
      <c r="W123" s="16" t="s">
        <v>99</v>
      </c>
      <c r="X123" s="16">
        <v>4743</v>
      </c>
      <c r="Y123" s="16">
        <v>1881</v>
      </c>
      <c r="Z123" s="16">
        <v>1613</v>
      </c>
      <c r="AA123" s="16" t="s">
        <v>36</v>
      </c>
      <c r="AB123" s="16" t="s">
        <v>348</v>
      </c>
    </row>
    <row r="124" spans="1:28" x14ac:dyDescent="0.3">
      <c r="A124" s="16" t="s">
        <v>323</v>
      </c>
      <c r="B124" s="16" t="s">
        <v>349</v>
      </c>
      <c r="C124" s="16">
        <v>200</v>
      </c>
      <c r="D12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24" s="16">
        <v>91</v>
      </c>
      <c r="F124" s="16" t="str">
        <f>IF(electric_vehicles_spec_2025_csv[[#This Row],[battery_capacity_kWh]]&lt;=30, "0–30 kWh", IF(electric_vehicles_spec_2025_csv[[#This Row],[battery_capacity_kWh]]&lt;=60, "31–60 kWh", "61+ kWh"))</f>
        <v>61+ kWh</v>
      </c>
      <c r="G124" s="16" t="s">
        <v>24</v>
      </c>
      <c r="H124" s="16">
        <v>376</v>
      </c>
      <c r="I124" s="16">
        <v>950</v>
      </c>
      <c r="J124" s="16">
        <v>177</v>
      </c>
      <c r="K124" s="16" t="str">
        <f t="shared" si="1"/>
        <v>161+ Wh/km</v>
      </c>
      <c r="L124" s="16">
        <v>435</v>
      </c>
      <c r="M124" s="16" t="str">
        <f>IF(electric_vehicles_spec_2025_csv[[#This Row],[range_km]]&lt;=200, "0–200 km",IF(electric_vehicles_spec_2025_csv[[#This Row],[range_km]]&lt;=400, "201–400 km", "401+ km"))</f>
        <v>401+ km</v>
      </c>
      <c r="N124" s="16">
        <v>3.8</v>
      </c>
      <c r="O124" s="16" t="str">
        <f>IF(electric_vehicles_spec_2025_csv[[#This Row],[acceleration_0_100_s]]&lt;4,"0–3.9 s",IF(electric_vehicles_spec_2025_csv[[#This Row],[acceleration_0_100_s]]&lt;6,"4.0–5.9 s",IF(electric_vehicles_spec_2025_csv[[#This Row],[acceleration_0_100_s]]&lt;8,"6.0–7.9 s","8.0+ s")))</f>
        <v>0–3.9 s</v>
      </c>
      <c r="P124" s="16">
        <v>115</v>
      </c>
      <c r="Q124" s="16" t="str">
        <f>IF(electric_vehicles_spec_2025_csv[[#This Row],[fast_charging_power_kw_dc]]&lt;50,"0–49 kW",IF(electric_vehicles_spec_2025_csv[[#This Row],[fast_charging_power_kw_dc]]&lt;100,"50–99 kW",IF(electric_vehicles_spec_2025_csv[[#This Row],[fast_charging_power_kw_dc]]&lt;150,"100–149 kW","150+ kW")))</f>
        <v>100–149 kW</v>
      </c>
      <c r="R124" s="16" t="s">
        <v>25</v>
      </c>
      <c r="S124" s="16">
        <v>750</v>
      </c>
      <c r="T124" s="16" t="s">
        <v>339</v>
      </c>
      <c r="U124" s="16">
        <v>5</v>
      </c>
      <c r="V124" s="16" t="s">
        <v>70</v>
      </c>
      <c r="W124" s="16" t="s">
        <v>99</v>
      </c>
      <c r="X124" s="16">
        <v>4743</v>
      </c>
      <c r="Y124" s="16">
        <v>1881</v>
      </c>
      <c r="Z124" s="16">
        <v>1613</v>
      </c>
      <c r="AA124" s="16" t="s">
        <v>36</v>
      </c>
      <c r="AB124" s="16" t="s">
        <v>350</v>
      </c>
    </row>
    <row r="125" spans="1:28" x14ac:dyDescent="0.3">
      <c r="A125" s="16" t="s">
        <v>323</v>
      </c>
      <c r="B125" s="16" t="s">
        <v>351</v>
      </c>
      <c r="C125" s="16">
        <v>200</v>
      </c>
      <c r="D12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25" s="16">
        <v>91</v>
      </c>
      <c r="F125" s="16" t="str">
        <f>IF(electric_vehicles_spec_2025_csv[[#This Row],[battery_capacity_kWh]]&lt;=30, "0–30 kWh", IF(electric_vehicles_spec_2025_csv[[#This Row],[battery_capacity_kWh]]&lt;=60, "31–60 kWh", "61+ kWh"))</f>
        <v>61+ kWh</v>
      </c>
      <c r="G125" s="16" t="s">
        <v>24</v>
      </c>
      <c r="H125" s="16">
        <v>376</v>
      </c>
      <c r="I125" s="16">
        <v>950</v>
      </c>
      <c r="J125" s="16">
        <v>178</v>
      </c>
      <c r="K125" s="16" t="str">
        <f t="shared" si="1"/>
        <v>161+ Wh/km</v>
      </c>
      <c r="L125" s="16">
        <v>415</v>
      </c>
      <c r="M125" s="16" t="str">
        <f>IF(electric_vehicles_spec_2025_csv[[#This Row],[range_km]]&lt;=200, "0–200 km",IF(electric_vehicles_spec_2025_csv[[#This Row],[range_km]]&lt;=400, "201–400 km", "401+ km"))</f>
        <v>401+ km</v>
      </c>
      <c r="N125" s="16">
        <v>3.9</v>
      </c>
      <c r="O125" s="16" t="str">
        <f>IF(electric_vehicles_spec_2025_csv[[#This Row],[acceleration_0_100_s]]&lt;4,"0–3.9 s",IF(electric_vehicles_spec_2025_csv[[#This Row],[acceleration_0_100_s]]&lt;6,"4.0–5.9 s",IF(electric_vehicles_spec_2025_csv[[#This Row],[acceleration_0_100_s]]&lt;8,"6.0–7.9 s","8.0+ s")))</f>
        <v>0–3.9 s</v>
      </c>
      <c r="P125" s="16">
        <v>115</v>
      </c>
      <c r="Q125" s="16" t="str">
        <f>IF(electric_vehicles_spec_2025_csv[[#This Row],[fast_charging_power_kw_dc]]&lt;50,"0–49 kW",IF(electric_vehicles_spec_2025_csv[[#This Row],[fast_charging_power_kw_dc]]&lt;100,"50–99 kW",IF(electric_vehicles_spec_2025_csv[[#This Row],[fast_charging_power_kw_dc]]&lt;150,"100–149 kW","150+ kW")))</f>
        <v>100–149 kW</v>
      </c>
      <c r="R125" s="16" t="s">
        <v>25</v>
      </c>
      <c r="S125" s="16">
        <v>750</v>
      </c>
      <c r="T125" s="16" t="s">
        <v>339</v>
      </c>
      <c r="U125" s="16">
        <v>5</v>
      </c>
      <c r="V125" s="16" t="s">
        <v>70</v>
      </c>
      <c r="W125" s="16" t="s">
        <v>99</v>
      </c>
      <c r="X125" s="16">
        <v>4743</v>
      </c>
      <c r="Y125" s="16">
        <v>1881</v>
      </c>
      <c r="Z125" s="16">
        <v>1633</v>
      </c>
      <c r="AA125" s="16" t="s">
        <v>36</v>
      </c>
      <c r="AB125" s="16" t="s">
        <v>352</v>
      </c>
    </row>
    <row r="126" spans="1:28" x14ac:dyDescent="0.3">
      <c r="A126" s="16" t="s">
        <v>323</v>
      </c>
      <c r="B126" s="16" t="s">
        <v>353</v>
      </c>
      <c r="C126" s="16">
        <v>200</v>
      </c>
      <c r="D12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26" s="16">
        <v>91</v>
      </c>
      <c r="F126" s="16" t="str">
        <f>IF(electric_vehicles_spec_2025_csv[[#This Row],[battery_capacity_kWh]]&lt;=30, "0–30 kWh", IF(electric_vehicles_spec_2025_csv[[#This Row],[battery_capacity_kWh]]&lt;=60, "31–60 kWh", "61+ kWh"))</f>
        <v>61+ kWh</v>
      </c>
      <c r="G126" s="16" t="s">
        <v>24</v>
      </c>
      <c r="H126" s="16">
        <v>376</v>
      </c>
      <c r="I126" s="16">
        <v>950</v>
      </c>
      <c r="J126" s="16">
        <v>178</v>
      </c>
      <c r="K126" s="16" t="str">
        <f t="shared" si="1"/>
        <v>161+ Wh/km</v>
      </c>
      <c r="L126" s="16">
        <v>410</v>
      </c>
      <c r="M126" s="16" t="str">
        <f>IF(electric_vehicles_spec_2025_csv[[#This Row],[range_km]]&lt;=200, "0–200 km",IF(electric_vehicles_spec_2025_csv[[#This Row],[range_km]]&lt;=400, "201–400 km", "401+ km"))</f>
        <v>401+ km</v>
      </c>
      <c r="N126" s="16">
        <v>3.9</v>
      </c>
      <c r="O126" s="16" t="str">
        <f>IF(electric_vehicles_spec_2025_csv[[#This Row],[acceleration_0_100_s]]&lt;4,"0–3.9 s",IF(electric_vehicles_spec_2025_csv[[#This Row],[acceleration_0_100_s]]&lt;6,"4.0–5.9 s",IF(electric_vehicles_spec_2025_csv[[#This Row],[acceleration_0_100_s]]&lt;8,"6.0–7.9 s","8.0+ s")))</f>
        <v>0–3.9 s</v>
      </c>
      <c r="P126" s="16">
        <v>115</v>
      </c>
      <c r="Q126" s="16" t="str">
        <f>IF(electric_vehicles_spec_2025_csv[[#This Row],[fast_charging_power_kw_dc]]&lt;50,"0–49 kW",IF(electric_vehicles_spec_2025_csv[[#This Row],[fast_charging_power_kw_dc]]&lt;100,"50–99 kW",IF(electric_vehicles_spec_2025_csv[[#This Row],[fast_charging_power_kw_dc]]&lt;150,"100–149 kW","150+ kW")))</f>
        <v>100–149 kW</v>
      </c>
      <c r="R126" s="16" t="s">
        <v>25</v>
      </c>
      <c r="S126" s="16">
        <v>750</v>
      </c>
      <c r="T126" s="16" t="s">
        <v>339</v>
      </c>
      <c r="U126" s="16">
        <v>5</v>
      </c>
      <c r="V126" s="16" t="s">
        <v>70</v>
      </c>
      <c r="W126" s="16" t="s">
        <v>99</v>
      </c>
      <c r="X126" s="16">
        <v>4743</v>
      </c>
      <c r="Y126" s="16">
        <v>1881</v>
      </c>
      <c r="Z126" s="16">
        <v>1633</v>
      </c>
      <c r="AA126" s="16" t="s">
        <v>36</v>
      </c>
      <c r="AB126" s="16" t="s">
        <v>354</v>
      </c>
    </row>
    <row r="127" spans="1:28" x14ac:dyDescent="0.3">
      <c r="A127" s="16" t="s">
        <v>323</v>
      </c>
      <c r="B127" s="16" t="s">
        <v>355</v>
      </c>
      <c r="C127" s="16">
        <v>180</v>
      </c>
      <c r="D12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27" s="16">
        <v>72.599999999999994</v>
      </c>
      <c r="F127" s="16" t="str">
        <f>IF(electric_vehicles_spec_2025_csv[[#This Row],[battery_capacity_kWh]]&lt;=30, "0–30 kWh", IF(electric_vehicles_spec_2025_csv[[#This Row],[battery_capacity_kWh]]&lt;=60, "31–60 kWh", "61+ kWh"))</f>
        <v>61+ kWh</v>
      </c>
      <c r="G127" s="16" t="s">
        <v>24</v>
      </c>
      <c r="H127" s="16"/>
      <c r="I127" s="16">
        <v>525</v>
      </c>
      <c r="J127" s="16">
        <v>154</v>
      </c>
      <c r="K127" s="16" t="str">
        <f t="shared" si="1"/>
        <v>131–160 Wh/km</v>
      </c>
      <c r="L127" s="16">
        <v>385</v>
      </c>
      <c r="M127" s="16" t="str">
        <f>IF(electric_vehicles_spec_2025_csv[[#This Row],[range_km]]&lt;=200, "0–200 km",IF(electric_vehicles_spec_2025_csv[[#This Row],[range_km]]&lt;=400, "201–400 km", "401+ km"))</f>
        <v>201–400 km</v>
      </c>
      <c r="N127" s="16">
        <v>6.2</v>
      </c>
      <c r="O127" s="16" t="str">
        <f>IF(electric_vehicles_spec_2025_csv[[#This Row],[acceleration_0_100_s]]&lt;4,"0–3.9 s",IF(electric_vehicles_spec_2025_csv[[#This Row],[acceleration_0_100_s]]&lt;6,"4.0–5.9 s",IF(electric_vehicles_spec_2025_csv[[#This Row],[acceleration_0_100_s]]&lt;8,"6.0–7.9 s","8.0+ s")))</f>
        <v>6.0–7.9 s</v>
      </c>
      <c r="P127" s="16">
        <v>100</v>
      </c>
      <c r="Q127" s="16" t="str">
        <f>IF(electric_vehicles_spec_2025_csv[[#This Row],[fast_charging_power_kw_dc]]&lt;50,"0–49 kW",IF(electric_vehicles_spec_2025_csv[[#This Row],[fast_charging_power_kw_dc]]&lt;100,"50–99 kW",IF(electric_vehicles_spec_2025_csv[[#This Row],[fast_charging_power_kw_dc]]&lt;150,"100–149 kW","150+ kW")))</f>
        <v>100–149 kW</v>
      </c>
      <c r="R127" s="16" t="s">
        <v>25</v>
      </c>
      <c r="S127" s="16">
        <v>750</v>
      </c>
      <c r="T127" s="16" t="s">
        <v>339</v>
      </c>
      <c r="U127" s="16">
        <v>5</v>
      </c>
      <c r="V127" s="16" t="s">
        <v>63</v>
      </c>
      <c r="W127" s="16" t="s">
        <v>99</v>
      </c>
      <c r="X127" s="16">
        <v>4713</v>
      </c>
      <c r="Y127" s="16">
        <v>1881</v>
      </c>
      <c r="Z127" s="16">
        <v>1624</v>
      </c>
      <c r="AA127" s="16" t="s">
        <v>36</v>
      </c>
      <c r="AB127" s="16" t="s">
        <v>356</v>
      </c>
    </row>
    <row r="128" spans="1:28" x14ac:dyDescent="0.3">
      <c r="A128" s="16" t="s">
        <v>323</v>
      </c>
      <c r="B128" s="16" t="s">
        <v>357</v>
      </c>
      <c r="C128" s="16">
        <v>180</v>
      </c>
      <c r="D12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28" s="16">
        <v>72.599999999999994</v>
      </c>
      <c r="F128" s="16" t="str">
        <f>IF(electric_vehicles_spec_2025_csv[[#This Row],[battery_capacity_kWh]]&lt;=30, "0–30 kWh", IF(electric_vehicles_spec_2025_csv[[#This Row],[battery_capacity_kWh]]&lt;=60, "31–60 kWh", "61+ kWh"))</f>
        <v>61+ kWh</v>
      </c>
      <c r="G128" s="16" t="s">
        <v>24</v>
      </c>
      <c r="H128" s="16"/>
      <c r="I128" s="16">
        <v>525</v>
      </c>
      <c r="J128" s="16">
        <v>154</v>
      </c>
      <c r="K128" s="16" t="str">
        <f t="shared" si="1"/>
        <v>131–160 Wh/km</v>
      </c>
      <c r="L128" s="16">
        <v>380</v>
      </c>
      <c r="M128" s="16" t="str">
        <f>IF(electric_vehicles_spec_2025_csv[[#This Row],[range_km]]&lt;=200, "0–200 km",IF(electric_vehicles_spec_2025_csv[[#This Row],[range_km]]&lt;=400, "201–400 km", "401+ km"))</f>
        <v>201–400 km</v>
      </c>
      <c r="N128" s="16">
        <v>6.2</v>
      </c>
      <c r="O128" s="16" t="str">
        <f>IF(electric_vehicles_spec_2025_csv[[#This Row],[acceleration_0_100_s]]&lt;4,"0–3.9 s",IF(electric_vehicles_spec_2025_csv[[#This Row],[acceleration_0_100_s]]&lt;6,"4.0–5.9 s",IF(electric_vehicles_spec_2025_csv[[#This Row],[acceleration_0_100_s]]&lt;8,"6.0–7.9 s","8.0+ s")))</f>
        <v>6.0–7.9 s</v>
      </c>
      <c r="P128" s="16">
        <v>100</v>
      </c>
      <c r="Q128" s="16" t="str">
        <f>IF(electric_vehicles_spec_2025_csv[[#This Row],[fast_charging_power_kw_dc]]&lt;50,"0–49 kW",IF(electric_vehicles_spec_2025_csv[[#This Row],[fast_charging_power_kw_dc]]&lt;100,"50–99 kW",IF(electric_vehicles_spec_2025_csv[[#This Row],[fast_charging_power_kw_dc]]&lt;150,"100–149 kW","150+ kW")))</f>
        <v>100–149 kW</v>
      </c>
      <c r="R128" s="16" t="s">
        <v>25</v>
      </c>
      <c r="S128" s="16">
        <v>750</v>
      </c>
      <c r="T128" s="16" t="s">
        <v>339</v>
      </c>
      <c r="U128" s="16">
        <v>5</v>
      </c>
      <c r="V128" s="16" t="s">
        <v>63</v>
      </c>
      <c r="W128" s="16" t="s">
        <v>99</v>
      </c>
      <c r="X128" s="16">
        <v>4713</v>
      </c>
      <c r="Y128" s="16">
        <v>1881</v>
      </c>
      <c r="Z128" s="16">
        <v>1624</v>
      </c>
      <c r="AA128" s="16" t="s">
        <v>36</v>
      </c>
      <c r="AB128" s="16" t="s">
        <v>358</v>
      </c>
    </row>
    <row r="129" spans="1:28" x14ac:dyDescent="0.3">
      <c r="A129" s="16" t="s">
        <v>323</v>
      </c>
      <c r="B129" s="16" t="s">
        <v>359</v>
      </c>
      <c r="C129" s="16">
        <v>160</v>
      </c>
      <c r="D12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29" s="16">
        <v>43.6</v>
      </c>
      <c r="F129" s="16" t="str">
        <f>IF(electric_vehicles_spec_2025_csv[[#This Row],[battery_capacity_kWh]]&lt;=30, "0–30 kWh", IF(electric_vehicles_spec_2025_csv[[#This Row],[battery_capacity_kWh]]&lt;=60, "31–60 kWh", "61+ kWh"))</f>
        <v>31–60 kWh</v>
      </c>
      <c r="G129" s="16" t="s">
        <v>24</v>
      </c>
      <c r="H129" s="16"/>
      <c r="I129" s="16">
        <v>290</v>
      </c>
      <c r="J129" s="16">
        <v>126</v>
      </c>
      <c r="K129" s="16" t="str">
        <f t="shared" si="1"/>
        <v>0–130 Wh/km</v>
      </c>
      <c r="L129" s="16">
        <v>275</v>
      </c>
      <c r="M129" s="16" t="str">
        <f>IF(electric_vehicles_spec_2025_csv[[#This Row],[range_km]]&lt;=200, "0–200 km",IF(electric_vehicles_spec_2025_csv[[#This Row],[range_km]]&lt;=400, "201–400 km", "401+ km"))</f>
        <v>201–400 km</v>
      </c>
      <c r="N129" s="16">
        <v>8</v>
      </c>
      <c r="O129" s="16" t="str">
        <f>IF(electric_vehicles_spec_2025_csv[[#This Row],[acceleration_0_100_s]]&lt;4,"0–3.9 s",IF(electric_vehicles_spec_2025_csv[[#This Row],[acceleration_0_100_s]]&lt;6,"4.0–5.9 s",IF(electric_vehicles_spec_2025_csv[[#This Row],[acceleration_0_100_s]]&lt;8,"6.0–7.9 s","8.0+ s")))</f>
        <v>8.0+ s</v>
      </c>
      <c r="P129" s="16">
        <v>85</v>
      </c>
      <c r="Q129" s="16" t="str">
        <f>IF(electric_vehicles_spec_2025_csv[[#This Row],[fast_charging_power_kw_dc]]&lt;50,"0–49 kW",IF(electric_vehicles_spec_2025_csv[[#This Row],[fast_charging_power_kw_dc]]&lt;100,"50–99 kW",IF(electric_vehicles_spec_2025_csv[[#This Row],[fast_charging_power_kw_dc]]&lt;150,"100–149 kW","150+ kW")))</f>
        <v>50–99 kW</v>
      </c>
      <c r="R129" s="16" t="s">
        <v>25</v>
      </c>
      <c r="S129" s="16">
        <v>750</v>
      </c>
      <c r="T129" s="16" t="s">
        <v>360</v>
      </c>
      <c r="U129" s="16">
        <v>5</v>
      </c>
      <c r="V129" s="16" t="s">
        <v>27</v>
      </c>
      <c r="W129" s="16" t="s">
        <v>35</v>
      </c>
      <c r="X129" s="16">
        <v>4214</v>
      </c>
      <c r="Y129" s="16">
        <v>1805</v>
      </c>
      <c r="Z129" s="16">
        <v>1555</v>
      </c>
      <c r="AA129" s="16" t="s">
        <v>36</v>
      </c>
      <c r="AB129" s="16" t="s">
        <v>361</v>
      </c>
    </row>
    <row r="130" spans="1:28" x14ac:dyDescent="0.3">
      <c r="A130" s="16" t="s">
        <v>323</v>
      </c>
      <c r="B130" s="16" t="s">
        <v>362</v>
      </c>
      <c r="C130" s="16">
        <v>145</v>
      </c>
      <c r="D13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30" s="16">
        <v>43.6</v>
      </c>
      <c r="F130" s="16" t="str">
        <f>IF(electric_vehicles_spec_2025_csv[[#This Row],[battery_capacity_kWh]]&lt;=30, "0–30 kWh", IF(electric_vehicles_spec_2025_csv[[#This Row],[battery_capacity_kWh]]&lt;=60, "31–60 kWh", "61+ kWh"))</f>
        <v>31–60 kWh</v>
      </c>
      <c r="G130" s="16" t="s">
        <v>24</v>
      </c>
      <c r="H130" s="16"/>
      <c r="I130" s="16">
        <v>290</v>
      </c>
      <c r="J130" s="16">
        <v>164</v>
      </c>
      <c r="K130" s="16" t="str">
        <f t="shared" ref="K130:K193" si="2">IF(J130&lt;=130,"0–130 Wh/km",IF(J130&lt;=160,"131–160 Wh/km","161+ Wh/km"))</f>
        <v>161+ Wh/km</v>
      </c>
      <c r="L130" s="16">
        <v>200</v>
      </c>
      <c r="M130" s="16" t="str">
        <f>IF(electric_vehicles_spec_2025_csv[[#This Row],[range_km]]&lt;=200, "0–200 km",IF(electric_vehicles_spec_2025_csv[[#This Row],[range_km]]&lt;=400, "201–400 km", "401+ km"))</f>
        <v>0–200 km</v>
      </c>
      <c r="N130" s="16">
        <v>11</v>
      </c>
      <c r="O130" s="16" t="str">
        <f>IF(electric_vehicles_spec_2025_csv[[#This Row],[acceleration_0_100_s]]&lt;4,"0–3.9 s",IF(electric_vehicles_spec_2025_csv[[#This Row],[acceleration_0_100_s]]&lt;6,"4.0–5.9 s",IF(electric_vehicles_spec_2025_csv[[#This Row],[acceleration_0_100_s]]&lt;8,"6.0–7.9 s","8.0+ s")))</f>
        <v>8.0+ s</v>
      </c>
      <c r="P130" s="16">
        <v>80</v>
      </c>
      <c r="Q130" s="16" t="str">
        <f>IF(electric_vehicles_spec_2025_csv[[#This Row],[fast_charging_power_kw_dc]]&lt;50,"0–49 kW",IF(electric_vehicles_spec_2025_csv[[#This Row],[fast_charging_power_kw_dc]]&lt;100,"50–99 kW",IF(electric_vehicles_spec_2025_csv[[#This Row],[fast_charging_power_kw_dc]]&lt;150,"100–149 kW","150+ kW")))</f>
        <v>50–99 kW</v>
      </c>
      <c r="R130" s="16" t="s">
        <v>25</v>
      </c>
      <c r="S130" s="16">
        <v>750</v>
      </c>
      <c r="T130" s="16" t="s">
        <v>363</v>
      </c>
      <c r="U130" s="16">
        <v>5</v>
      </c>
      <c r="V130" s="16" t="s">
        <v>27</v>
      </c>
      <c r="W130" s="16" t="s">
        <v>244</v>
      </c>
      <c r="X130" s="16">
        <v>4337</v>
      </c>
      <c r="Y130" s="16">
        <v>1876</v>
      </c>
      <c r="Z130" s="16">
        <v>1817</v>
      </c>
      <c r="AA130" s="16" t="s">
        <v>245</v>
      </c>
      <c r="AB130" s="16" t="s">
        <v>364</v>
      </c>
    </row>
    <row r="131" spans="1:28" x14ac:dyDescent="0.3">
      <c r="A131" s="16" t="s">
        <v>323</v>
      </c>
      <c r="B131" s="16" t="s">
        <v>365</v>
      </c>
      <c r="C131" s="16">
        <v>130</v>
      </c>
      <c r="D13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31" s="16">
        <v>64</v>
      </c>
      <c r="F131" s="16" t="str">
        <f>IF(electric_vehicles_spec_2025_csv[[#This Row],[battery_capacity_kWh]]&lt;=30, "0–30 kWh", IF(electric_vehicles_spec_2025_csv[[#This Row],[battery_capacity_kWh]]&lt;=60, "31–60 kWh", "61+ kWh"))</f>
        <v>61+ kWh</v>
      </c>
      <c r="G131" s="16" t="s">
        <v>24</v>
      </c>
      <c r="H131" s="16"/>
      <c r="I131" s="16">
        <v>415</v>
      </c>
      <c r="J131" s="16">
        <v>370</v>
      </c>
      <c r="K131" s="16" t="str">
        <f t="shared" si="2"/>
        <v>161+ Wh/km</v>
      </c>
      <c r="L131" s="16">
        <v>235</v>
      </c>
      <c r="M131" s="16" t="str">
        <f>IF(electric_vehicles_spec_2025_csv[[#This Row],[range_km]]&lt;=200, "0–200 km",IF(electric_vehicles_spec_2025_csv[[#This Row],[range_km]]&lt;=400, "201–400 km", "401+ km"))</f>
        <v>201–400 km</v>
      </c>
      <c r="N131" s="16">
        <v>9</v>
      </c>
      <c r="O131" s="16" t="str">
        <f>IF(electric_vehicles_spec_2025_csv[[#This Row],[acceleration_0_100_s]]&lt;4,"0–3.9 s",IF(electric_vehicles_spec_2025_csv[[#This Row],[acceleration_0_100_s]]&lt;6,"4.0–5.9 s",IF(electric_vehicles_spec_2025_csv[[#This Row],[acceleration_0_100_s]]&lt;8,"6.0–7.9 s","8.0+ s")))</f>
        <v>8.0+ s</v>
      </c>
      <c r="P131" s="16">
        <v>70</v>
      </c>
      <c r="Q131" s="16" t="str">
        <f>IF(electric_vehicles_spec_2025_csv[[#This Row],[fast_charging_power_kw_dc]]&lt;50,"0–49 kW",IF(electric_vehicles_spec_2025_csv[[#This Row],[fast_charging_power_kw_dc]]&lt;100,"50–99 kW",IF(electric_vehicles_spec_2025_csv[[#This Row],[fast_charging_power_kw_dc]]&lt;150,"100–149 kW","150+ kW")))</f>
        <v>50–99 kW</v>
      </c>
      <c r="R131" s="16" t="s">
        <v>25</v>
      </c>
      <c r="S131" s="16">
        <v>2000</v>
      </c>
      <c r="T131" s="16" t="s">
        <v>366</v>
      </c>
      <c r="U131" s="16">
        <v>8</v>
      </c>
      <c r="V131" s="16" t="s">
        <v>63</v>
      </c>
      <c r="W131" s="16" t="s">
        <v>244</v>
      </c>
      <c r="X131" s="16">
        <v>5050</v>
      </c>
      <c r="Y131" s="16">
        <v>1999</v>
      </c>
      <c r="Z131" s="16">
        <v>1959</v>
      </c>
      <c r="AA131" s="16" t="s">
        <v>245</v>
      </c>
      <c r="AB131" s="16" t="s">
        <v>367</v>
      </c>
    </row>
    <row r="132" spans="1:28" x14ac:dyDescent="0.3">
      <c r="A132" s="16" t="s">
        <v>323</v>
      </c>
      <c r="B132" s="16" t="s">
        <v>368</v>
      </c>
      <c r="C132" s="16">
        <v>130</v>
      </c>
      <c r="D13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32" s="16">
        <v>64</v>
      </c>
      <c r="F132" s="16" t="str">
        <f>IF(electric_vehicles_spec_2025_csv[[#This Row],[battery_capacity_kWh]]&lt;=30, "0–30 kWh", IF(electric_vehicles_spec_2025_csv[[#This Row],[battery_capacity_kWh]]&lt;=60, "31–60 kWh", "61+ kWh"))</f>
        <v>61+ kWh</v>
      </c>
      <c r="G132" s="16" t="s">
        <v>24</v>
      </c>
      <c r="H132" s="16"/>
      <c r="I132" s="16">
        <v>415</v>
      </c>
      <c r="J132" s="16">
        <v>370</v>
      </c>
      <c r="K132" s="16" t="str">
        <f t="shared" si="2"/>
        <v>161+ Wh/km</v>
      </c>
      <c r="L132" s="16">
        <v>235</v>
      </c>
      <c r="M132" s="16" t="str">
        <f>IF(electric_vehicles_spec_2025_csv[[#This Row],[range_km]]&lt;=200, "0–200 km",IF(electric_vehicles_spec_2025_csv[[#This Row],[range_km]]&lt;=400, "201–400 km", "401+ km"))</f>
        <v>201–400 km</v>
      </c>
      <c r="N132" s="16">
        <v>8</v>
      </c>
      <c r="O132" s="16" t="str">
        <f>IF(electric_vehicles_spec_2025_csv[[#This Row],[acceleration_0_100_s]]&lt;4,"0–3.9 s",IF(electric_vehicles_spec_2025_csv[[#This Row],[acceleration_0_100_s]]&lt;6,"4.0–5.9 s",IF(electric_vehicles_spec_2025_csv[[#This Row],[acceleration_0_100_s]]&lt;8,"6.0–7.9 s","8.0+ s")))</f>
        <v>8.0+ s</v>
      </c>
      <c r="P132" s="16">
        <v>70</v>
      </c>
      <c r="Q132" s="16" t="str">
        <f>IF(electric_vehicles_spec_2025_csv[[#This Row],[fast_charging_power_kw_dc]]&lt;50,"0–49 kW",IF(electric_vehicles_spec_2025_csv[[#This Row],[fast_charging_power_kw_dc]]&lt;100,"50–99 kW",IF(electric_vehicles_spec_2025_csv[[#This Row],[fast_charging_power_kw_dc]]&lt;150,"100–149 kW","150+ kW")))</f>
        <v>50–99 kW</v>
      </c>
      <c r="R132" s="16" t="s">
        <v>25</v>
      </c>
      <c r="S132" s="16">
        <v>2000</v>
      </c>
      <c r="T132" s="16" t="s">
        <v>366</v>
      </c>
      <c r="U132" s="16">
        <v>8</v>
      </c>
      <c r="V132" s="16" t="s">
        <v>63</v>
      </c>
      <c r="W132" s="16" t="s">
        <v>244</v>
      </c>
      <c r="X132" s="16">
        <v>5050</v>
      </c>
      <c r="Y132" s="16">
        <v>1999</v>
      </c>
      <c r="Z132" s="16">
        <v>1959</v>
      </c>
      <c r="AA132" s="16" t="s">
        <v>245</v>
      </c>
      <c r="AB132" s="16" t="s">
        <v>369</v>
      </c>
    </row>
    <row r="133" spans="1:28" x14ac:dyDescent="0.3">
      <c r="A133" s="16" t="s">
        <v>323</v>
      </c>
      <c r="B133" s="16" t="s">
        <v>370</v>
      </c>
      <c r="C133" s="16">
        <v>150</v>
      </c>
      <c r="D13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33" s="16">
        <v>64</v>
      </c>
      <c r="F133" s="16" t="str">
        <f>IF(electric_vehicles_spec_2025_csv[[#This Row],[battery_capacity_kWh]]&lt;=30, "0–30 kWh", IF(electric_vehicles_spec_2025_csv[[#This Row],[battery_capacity_kWh]]&lt;=60, "31–60 kWh", "61+ kWh"))</f>
        <v>61+ kWh</v>
      </c>
      <c r="G133" s="16" t="s">
        <v>24</v>
      </c>
      <c r="H133" s="16"/>
      <c r="I133" s="16">
        <v>415</v>
      </c>
      <c r="J133" s="16">
        <v>370</v>
      </c>
      <c r="K133" s="16" t="str">
        <f t="shared" si="2"/>
        <v>161+ Wh/km</v>
      </c>
      <c r="L133" s="16">
        <v>235</v>
      </c>
      <c r="M133" s="16" t="str">
        <f>IF(electric_vehicles_spec_2025_csv[[#This Row],[range_km]]&lt;=200, "0–200 km",IF(electric_vehicles_spec_2025_csv[[#This Row],[range_km]]&lt;=400, "201–400 km", "401+ km"))</f>
        <v>201–400 km</v>
      </c>
      <c r="N133" s="16">
        <v>9</v>
      </c>
      <c r="O133" s="16" t="str">
        <f>IF(electric_vehicles_spec_2025_csv[[#This Row],[acceleration_0_100_s]]&lt;4,"0–3.9 s",IF(electric_vehicles_spec_2025_csv[[#This Row],[acceleration_0_100_s]]&lt;6,"4.0–5.9 s",IF(electric_vehicles_spec_2025_csv[[#This Row],[acceleration_0_100_s]]&lt;8,"6.0–7.9 s","8.0+ s")))</f>
        <v>8.0+ s</v>
      </c>
      <c r="P133" s="16">
        <v>70</v>
      </c>
      <c r="Q133" s="16" t="str">
        <f>IF(electric_vehicles_spec_2025_csv[[#This Row],[fast_charging_power_kw_dc]]&lt;50,"0–49 kW",IF(electric_vehicles_spec_2025_csv[[#This Row],[fast_charging_power_kw_dc]]&lt;100,"50–99 kW",IF(electric_vehicles_spec_2025_csv[[#This Row],[fast_charging_power_kw_dc]]&lt;150,"100–149 kW","150+ kW")))</f>
        <v>50–99 kW</v>
      </c>
      <c r="R133" s="16" t="s">
        <v>25</v>
      </c>
      <c r="S133" s="16">
        <v>2000</v>
      </c>
      <c r="T133" s="16" t="s">
        <v>366</v>
      </c>
      <c r="U133" s="16">
        <v>8</v>
      </c>
      <c r="V133" s="16" t="s">
        <v>63</v>
      </c>
      <c r="W133" s="16" t="s">
        <v>244</v>
      </c>
      <c r="X133" s="16">
        <v>5908</v>
      </c>
      <c r="Y133" s="16">
        <v>1999</v>
      </c>
      <c r="Z133" s="16">
        <v>1959</v>
      </c>
      <c r="AA133" s="16" t="s">
        <v>245</v>
      </c>
      <c r="AB133" s="16" t="s">
        <v>371</v>
      </c>
    </row>
    <row r="134" spans="1:28" x14ac:dyDescent="0.3">
      <c r="A134" s="16" t="s">
        <v>323</v>
      </c>
      <c r="B134" s="16" t="s">
        <v>372</v>
      </c>
      <c r="C134" s="16">
        <v>150</v>
      </c>
      <c r="D13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34" s="16">
        <v>64</v>
      </c>
      <c r="F134" s="16" t="str">
        <f>IF(electric_vehicles_spec_2025_csv[[#This Row],[battery_capacity_kWh]]&lt;=30, "0–30 kWh", IF(electric_vehicles_spec_2025_csv[[#This Row],[battery_capacity_kWh]]&lt;=60, "31–60 kWh", "61+ kWh"))</f>
        <v>61+ kWh</v>
      </c>
      <c r="G134" s="16" t="s">
        <v>24</v>
      </c>
      <c r="H134" s="16"/>
      <c r="I134" s="16">
        <v>415</v>
      </c>
      <c r="J134" s="16">
        <v>370</v>
      </c>
      <c r="K134" s="16" t="str">
        <f t="shared" si="2"/>
        <v>161+ Wh/km</v>
      </c>
      <c r="L134" s="16">
        <v>235</v>
      </c>
      <c r="M134" s="16" t="str">
        <f>IF(electric_vehicles_spec_2025_csv[[#This Row],[range_km]]&lt;=200, "0–200 km",IF(electric_vehicles_spec_2025_csv[[#This Row],[range_km]]&lt;=400, "201–400 km", "401+ km"))</f>
        <v>201–400 km</v>
      </c>
      <c r="N134" s="16">
        <v>8</v>
      </c>
      <c r="O134" s="16" t="str">
        <f>IF(electric_vehicles_spec_2025_csv[[#This Row],[acceleration_0_100_s]]&lt;4,"0–3.9 s",IF(electric_vehicles_spec_2025_csv[[#This Row],[acceleration_0_100_s]]&lt;6,"4.0–5.9 s",IF(electric_vehicles_spec_2025_csv[[#This Row],[acceleration_0_100_s]]&lt;8,"6.0–7.9 s","8.0+ s")))</f>
        <v>8.0+ s</v>
      </c>
      <c r="P134" s="16">
        <v>70</v>
      </c>
      <c r="Q134" s="16" t="str">
        <f>IF(electric_vehicles_spec_2025_csv[[#This Row],[fast_charging_power_kw_dc]]&lt;50,"0–49 kW",IF(electric_vehicles_spec_2025_csv[[#This Row],[fast_charging_power_kw_dc]]&lt;100,"50–99 kW",IF(electric_vehicles_spec_2025_csv[[#This Row],[fast_charging_power_kw_dc]]&lt;150,"100–149 kW","150+ kW")))</f>
        <v>50–99 kW</v>
      </c>
      <c r="R134" s="16" t="s">
        <v>25</v>
      </c>
      <c r="S134" s="16">
        <v>2000</v>
      </c>
      <c r="T134" s="16" t="s">
        <v>366</v>
      </c>
      <c r="U134" s="16">
        <v>8</v>
      </c>
      <c r="V134" s="16" t="s">
        <v>63</v>
      </c>
      <c r="W134" s="16" t="s">
        <v>244</v>
      </c>
      <c r="X134" s="16">
        <v>5908</v>
      </c>
      <c r="Y134" s="16">
        <v>1999</v>
      </c>
      <c r="Z134" s="16">
        <v>1959</v>
      </c>
      <c r="AA134" s="16" t="s">
        <v>245</v>
      </c>
      <c r="AB134" s="16" t="s">
        <v>373</v>
      </c>
    </row>
    <row r="135" spans="1:28" x14ac:dyDescent="0.3">
      <c r="A135" s="16" t="s">
        <v>374</v>
      </c>
      <c r="B135" s="16" t="s">
        <v>375</v>
      </c>
      <c r="C135" s="16">
        <v>160</v>
      </c>
      <c r="D13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35" s="16">
        <v>45.4</v>
      </c>
      <c r="F135" s="16" t="str">
        <f>IF(electric_vehicles_spec_2025_csv[[#This Row],[battery_capacity_kWh]]&lt;=30, "0–30 kWh", IF(electric_vehicles_spec_2025_csv[[#This Row],[battery_capacity_kWh]]&lt;=60, "31–60 kWh", "61+ kWh"))</f>
        <v>31–60 kWh</v>
      </c>
      <c r="G135" s="16" t="s">
        <v>24</v>
      </c>
      <c r="H135" s="16"/>
      <c r="I135" s="16">
        <v>250</v>
      </c>
      <c r="J135" s="16">
        <v>146</v>
      </c>
      <c r="K135" s="16" t="str">
        <f t="shared" si="2"/>
        <v>131–160 Wh/km</v>
      </c>
      <c r="L135" s="16">
        <v>260</v>
      </c>
      <c r="M135" s="16" t="str">
        <f>IF(electric_vehicles_spec_2025_csv[[#This Row],[range_km]]&lt;=200, "0–200 km",IF(electric_vehicles_spec_2025_csv[[#This Row],[range_km]]&lt;=400, "201–400 km", "401+ km"))</f>
        <v>201–400 km</v>
      </c>
      <c r="N135" s="16">
        <v>8.3000000000000007</v>
      </c>
      <c r="O135" s="16" t="str">
        <f>IF(electric_vehicles_spec_2025_csv[[#This Row],[acceleration_0_100_s]]&lt;4,"0–3.9 s",IF(electric_vehicles_spec_2025_csv[[#This Row],[acceleration_0_100_s]]&lt;6,"4.0–5.9 s",IF(electric_vehicles_spec_2025_csv[[#This Row],[acceleration_0_100_s]]&lt;8,"6.0–7.9 s","8.0+ s")))</f>
        <v>8.0+ s</v>
      </c>
      <c r="P135" s="16">
        <v>45</v>
      </c>
      <c r="Q135" s="16" t="str">
        <f>IF(electric_vehicles_spec_2025_csv[[#This Row],[fast_charging_power_kw_dc]]&lt;50,"0–49 kW",IF(electric_vehicles_spec_2025_csv[[#This Row],[fast_charging_power_kw_dc]]&lt;100,"50–99 kW",IF(electric_vehicles_spec_2025_csv[[#This Row],[fast_charging_power_kw_dc]]&lt;150,"100–149 kW","150+ kW")))</f>
        <v>0–49 kW</v>
      </c>
      <c r="R135" s="16" t="s">
        <v>25</v>
      </c>
      <c r="S135" s="16">
        <v>0</v>
      </c>
      <c r="T135" s="16" t="s">
        <v>376</v>
      </c>
      <c r="U135" s="16">
        <v>5</v>
      </c>
      <c r="V135" s="16" t="s">
        <v>27</v>
      </c>
      <c r="W135" s="16" t="s">
        <v>190</v>
      </c>
      <c r="X135" s="16">
        <v>4235</v>
      </c>
      <c r="Y135" s="16">
        <v>1825</v>
      </c>
      <c r="Z135" s="16">
        <v>1603</v>
      </c>
      <c r="AA135" s="16" t="s">
        <v>29</v>
      </c>
      <c r="AB135" s="16" t="s">
        <v>377</v>
      </c>
    </row>
    <row r="136" spans="1:28" x14ac:dyDescent="0.3">
      <c r="A136" s="16" t="s">
        <v>374</v>
      </c>
      <c r="B136" s="16" t="s">
        <v>378</v>
      </c>
      <c r="C136" s="16">
        <v>160</v>
      </c>
      <c r="D13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36" s="16">
        <v>59.3</v>
      </c>
      <c r="F136" s="16" t="str">
        <f>IF(electric_vehicles_spec_2025_csv[[#This Row],[battery_capacity_kWh]]&lt;=30, "0–30 kWh", IF(electric_vehicles_spec_2025_csv[[#This Row],[battery_capacity_kWh]]&lt;=60, "31–60 kWh", "61+ kWh"))</f>
        <v>31–60 kWh</v>
      </c>
      <c r="G136" s="16" t="s">
        <v>24</v>
      </c>
      <c r="H136" s="16"/>
      <c r="I136" s="16">
        <v>250</v>
      </c>
      <c r="J136" s="16">
        <v>141</v>
      </c>
      <c r="K136" s="16" t="str">
        <f t="shared" si="2"/>
        <v>131–160 Wh/km</v>
      </c>
      <c r="L136" s="16">
        <v>340</v>
      </c>
      <c r="M136" s="16" t="str">
        <f>IF(electric_vehicles_spec_2025_csv[[#This Row],[range_km]]&lt;=200, "0–200 km",IF(electric_vehicles_spec_2025_csv[[#This Row],[range_km]]&lt;=400, "201–400 km", "401+ km"))</f>
        <v>201–400 km</v>
      </c>
      <c r="N136" s="16">
        <v>8.1999999999999993</v>
      </c>
      <c r="O136" s="16" t="str">
        <f>IF(electric_vehicles_spec_2025_csv[[#This Row],[acceleration_0_100_s]]&lt;4,"0–3.9 s",IF(electric_vehicles_spec_2025_csv[[#This Row],[acceleration_0_100_s]]&lt;6,"4.0–5.9 s",IF(electric_vehicles_spec_2025_csv[[#This Row],[acceleration_0_100_s]]&lt;8,"6.0–7.9 s","8.0+ s")))</f>
        <v>8.0+ s</v>
      </c>
      <c r="P136" s="16">
        <v>56</v>
      </c>
      <c r="Q136" s="16" t="str">
        <f>IF(electric_vehicles_spec_2025_csv[[#This Row],[fast_charging_power_kw_dc]]&lt;50,"0–49 kW",IF(electric_vehicles_spec_2025_csv[[#This Row],[fast_charging_power_kw_dc]]&lt;100,"50–99 kW",IF(electric_vehicles_spec_2025_csv[[#This Row],[fast_charging_power_kw_dc]]&lt;150,"100–149 kW","150+ kW")))</f>
        <v>50–99 kW</v>
      </c>
      <c r="R136" s="16" t="s">
        <v>25</v>
      </c>
      <c r="S136" s="16">
        <v>0</v>
      </c>
      <c r="T136" s="16" t="s">
        <v>376</v>
      </c>
      <c r="U136" s="16">
        <v>5</v>
      </c>
      <c r="V136" s="16" t="s">
        <v>27</v>
      </c>
      <c r="W136" s="16" t="s">
        <v>190</v>
      </c>
      <c r="X136" s="16">
        <v>4235</v>
      </c>
      <c r="Y136" s="16">
        <v>1825</v>
      </c>
      <c r="Z136" s="16">
        <v>1603</v>
      </c>
      <c r="AA136" s="16" t="s">
        <v>29</v>
      </c>
      <c r="AB136" s="16" t="s">
        <v>379</v>
      </c>
    </row>
    <row r="137" spans="1:28" x14ac:dyDescent="0.3">
      <c r="A137" s="16" t="s">
        <v>374</v>
      </c>
      <c r="B137" s="16" t="s">
        <v>380</v>
      </c>
      <c r="C137" s="16">
        <v>160</v>
      </c>
      <c r="D13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37" s="16">
        <v>59.3</v>
      </c>
      <c r="F137" s="16" t="str">
        <f>IF(electric_vehicles_spec_2025_csv[[#This Row],[battery_capacity_kWh]]&lt;=30, "0–30 kWh", IF(electric_vehicles_spec_2025_csv[[#This Row],[battery_capacity_kWh]]&lt;=60, "31–60 kWh", "61+ kWh"))</f>
        <v>31–60 kWh</v>
      </c>
      <c r="G137" s="16" t="s">
        <v>24</v>
      </c>
      <c r="H137" s="16"/>
      <c r="I137" s="16">
        <v>250</v>
      </c>
      <c r="J137" s="16">
        <v>148</v>
      </c>
      <c r="K137" s="16" t="str">
        <f t="shared" si="2"/>
        <v>131–160 Wh/km</v>
      </c>
      <c r="L137" s="16">
        <v>325</v>
      </c>
      <c r="M137" s="16" t="str">
        <f>IF(electric_vehicles_spec_2025_csv[[#This Row],[range_km]]&lt;=200, "0–200 km",IF(electric_vehicles_spec_2025_csv[[#This Row],[range_km]]&lt;=400, "201–400 km", "401+ km"))</f>
        <v>201–400 km</v>
      </c>
      <c r="N137" s="16">
        <v>8.1999999999999993</v>
      </c>
      <c r="O137" s="16" t="str">
        <f>IF(electric_vehicles_spec_2025_csv[[#This Row],[acceleration_0_100_s]]&lt;4,"0–3.9 s",IF(electric_vehicles_spec_2025_csv[[#This Row],[acceleration_0_100_s]]&lt;6,"4.0–5.9 s",IF(electric_vehicles_spec_2025_csv[[#This Row],[acceleration_0_100_s]]&lt;8,"6.0–7.9 s","8.0+ s")))</f>
        <v>8.0+ s</v>
      </c>
      <c r="P137" s="16">
        <v>56</v>
      </c>
      <c r="Q137" s="16" t="str">
        <f>IF(electric_vehicles_spec_2025_csv[[#This Row],[fast_charging_power_kw_dc]]&lt;50,"0–49 kW",IF(electric_vehicles_spec_2025_csv[[#This Row],[fast_charging_power_kw_dc]]&lt;100,"50–99 kW",IF(electric_vehicles_spec_2025_csv[[#This Row],[fast_charging_power_kw_dc]]&lt;150,"100–149 kW","150+ kW")))</f>
        <v>50–99 kW</v>
      </c>
      <c r="R137" s="16" t="s">
        <v>25</v>
      </c>
      <c r="S137" s="16">
        <v>0</v>
      </c>
      <c r="T137" s="16" t="s">
        <v>376</v>
      </c>
      <c r="U137" s="16">
        <v>5</v>
      </c>
      <c r="V137" s="16" t="s">
        <v>27</v>
      </c>
      <c r="W137" s="16" t="s">
        <v>190</v>
      </c>
      <c r="X137" s="16">
        <v>4254</v>
      </c>
      <c r="Y137" s="16">
        <v>1848</v>
      </c>
      <c r="Z137" s="16">
        <v>1603</v>
      </c>
      <c r="AA137" s="16" t="s">
        <v>29</v>
      </c>
      <c r="AB137" s="16" t="s">
        <v>381</v>
      </c>
    </row>
    <row r="138" spans="1:28" x14ac:dyDescent="0.3">
      <c r="A138" s="16" t="s">
        <v>374</v>
      </c>
      <c r="B138" s="16" t="s">
        <v>382</v>
      </c>
      <c r="C138" s="16">
        <v>180</v>
      </c>
      <c r="D13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38" s="16">
        <v>83.5</v>
      </c>
      <c r="F138" s="16" t="str">
        <f>IF(electric_vehicles_spec_2025_csv[[#This Row],[battery_capacity_kWh]]&lt;=30, "0–30 kWh", IF(electric_vehicles_spec_2025_csv[[#This Row],[battery_capacity_kWh]]&lt;=60, "31–60 kWh", "61+ kWh"))</f>
        <v>61+ kWh</v>
      </c>
      <c r="G138" s="16" t="s">
        <v>24</v>
      </c>
      <c r="H138" s="16"/>
      <c r="I138" s="16">
        <v>680</v>
      </c>
      <c r="J138" s="16">
        <v>161</v>
      </c>
      <c r="K138" s="16" t="str">
        <f t="shared" si="2"/>
        <v>161+ Wh/km</v>
      </c>
      <c r="L138" s="16">
        <v>430</v>
      </c>
      <c r="M138" s="16" t="str">
        <f>IF(electric_vehicles_spec_2025_csv[[#This Row],[range_km]]&lt;=200, "0–200 km",IF(electric_vehicles_spec_2025_csv[[#This Row],[range_km]]&lt;=400, "201–400 km", "401+ km"))</f>
        <v>401+ km</v>
      </c>
      <c r="N138" s="16">
        <v>4.5</v>
      </c>
      <c r="O138" s="16" t="str">
        <f>IF(electric_vehicles_spec_2025_csv[[#This Row],[acceleration_0_100_s]]&lt;4,"0–3.9 s",IF(electric_vehicles_spec_2025_csv[[#This Row],[acceleration_0_100_s]]&lt;6,"4.0–5.9 s",IF(electric_vehicles_spec_2025_csv[[#This Row],[acceleration_0_100_s]]&lt;8,"6.0–7.9 s","8.0+ s")))</f>
        <v>4.0–5.9 s</v>
      </c>
      <c r="P138" s="16">
        <v>80</v>
      </c>
      <c r="Q138" s="16" t="str">
        <f>IF(electric_vehicles_spec_2025_csv[[#This Row],[fast_charging_power_kw_dc]]&lt;50,"0–49 kW",IF(electric_vehicles_spec_2025_csv[[#This Row],[fast_charging_power_kw_dc]]&lt;100,"50–99 kW",IF(electric_vehicles_spec_2025_csv[[#This Row],[fast_charging_power_kw_dc]]&lt;150,"100–149 kW","150+ kW")))</f>
        <v>50–99 kW</v>
      </c>
      <c r="R138" s="16" t="s">
        <v>25</v>
      </c>
      <c r="S138" s="16">
        <v>0</v>
      </c>
      <c r="T138" s="16" t="s">
        <v>383</v>
      </c>
      <c r="U138" s="16">
        <v>5</v>
      </c>
      <c r="V138" s="16" t="s">
        <v>70</v>
      </c>
      <c r="W138" s="16" t="s">
        <v>137</v>
      </c>
      <c r="X138" s="16">
        <v>4871</v>
      </c>
      <c r="Y138" s="16">
        <v>1862</v>
      </c>
      <c r="Z138" s="16">
        <v>1500</v>
      </c>
      <c r="AA138" s="16" t="s">
        <v>125</v>
      </c>
      <c r="AB138" s="16" t="s">
        <v>384</v>
      </c>
    </row>
    <row r="139" spans="1:28" x14ac:dyDescent="0.3">
      <c r="A139" s="16" t="s">
        <v>374</v>
      </c>
      <c r="B139" s="16" t="s">
        <v>385</v>
      </c>
      <c r="C139" s="16">
        <v>170</v>
      </c>
      <c r="D13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39" s="16">
        <v>64.3</v>
      </c>
      <c r="F139" s="16" t="str">
        <f>IF(electric_vehicles_spec_2025_csv[[#This Row],[battery_capacity_kWh]]&lt;=30, "0–30 kWh", IF(electric_vehicles_spec_2025_csv[[#This Row],[battery_capacity_kWh]]&lt;=60, "31–60 kWh", "61+ kWh"))</f>
        <v>61+ kWh</v>
      </c>
      <c r="G139" s="16" t="s">
        <v>24</v>
      </c>
      <c r="H139" s="16"/>
      <c r="I139" s="16">
        <v>340</v>
      </c>
      <c r="J139" s="16">
        <v>146</v>
      </c>
      <c r="K139" s="16" t="str">
        <f t="shared" si="2"/>
        <v>131–160 Wh/km</v>
      </c>
      <c r="L139" s="16">
        <v>350</v>
      </c>
      <c r="M139" s="16" t="str">
        <f>IF(electric_vehicles_spec_2025_csv[[#This Row],[range_km]]&lt;=200, "0–200 km",IF(electric_vehicles_spec_2025_csv[[#This Row],[range_km]]&lt;=400, "201–400 km", "401+ km"))</f>
        <v>201–400 km</v>
      </c>
      <c r="N139" s="16">
        <v>8.1999999999999993</v>
      </c>
      <c r="O139" s="16" t="str">
        <f>IF(electric_vehicles_spec_2025_csv[[#This Row],[acceleration_0_100_s]]&lt;4,"0–3.9 s",IF(electric_vehicles_spec_2025_csv[[#This Row],[acceleration_0_100_s]]&lt;6,"4.0–5.9 s",IF(electric_vehicles_spec_2025_csv[[#This Row],[acceleration_0_100_s]]&lt;8,"6.0–7.9 s","8.0+ s")))</f>
        <v>8.0+ s</v>
      </c>
      <c r="P139" s="16">
        <v>75</v>
      </c>
      <c r="Q139" s="16" t="str">
        <f>IF(electric_vehicles_spec_2025_csv[[#This Row],[fast_charging_power_kw_dc]]&lt;50,"0–49 kW",IF(electric_vehicles_spec_2025_csv[[#This Row],[fast_charging_power_kw_dc]]&lt;100,"50–99 kW",IF(electric_vehicles_spec_2025_csv[[#This Row],[fast_charging_power_kw_dc]]&lt;150,"100–149 kW","150+ kW")))</f>
        <v>50–99 kW</v>
      </c>
      <c r="R139" s="16" t="s">
        <v>25</v>
      </c>
      <c r="S139" s="16">
        <v>0</v>
      </c>
      <c r="T139" s="16" t="s">
        <v>383</v>
      </c>
      <c r="U139" s="16">
        <v>5</v>
      </c>
      <c r="V139" s="16" t="s">
        <v>27</v>
      </c>
      <c r="W139" s="16" t="s">
        <v>137</v>
      </c>
      <c r="X139" s="16">
        <v>4871</v>
      </c>
      <c r="Y139" s="16">
        <v>1862</v>
      </c>
      <c r="Z139" s="16">
        <v>1500</v>
      </c>
      <c r="AA139" s="16" t="s">
        <v>125</v>
      </c>
      <c r="AB139" s="16" t="s">
        <v>386</v>
      </c>
    </row>
    <row r="140" spans="1:28" x14ac:dyDescent="0.3">
      <c r="A140" s="16" t="s">
        <v>374</v>
      </c>
      <c r="B140" s="16" t="s">
        <v>387</v>
      </c>
      <c r="C140" s="16">
        <v>170</v>
      </c>
      <c r="D14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40" s="16">
        <v>64.3</v>
      </c>
      <c r="F140" s="16" t="str">
        <f>IF(electric_vehicles_spec_2025_csv[[#This Row],[battery_capacity_kWh]]&lt;=30, "0–30 kWh", IF(electric_vehicles_spec_2025_csv[[#This Row],[battery_capacity_kWh]]&lt;=60, "31–60 kWh", "61+ kWh"))</f>
        <v>61+ kWh</v>
      </c>
      <c r="G140" s="16" t="s">
        <v>24</v>
      </c>
      <c r="H140" s="16"/>
      <c r="I140" s="16">
        <v>340</v>
      </c>
      <c r="J140" s="16">
        <v>146</v>
      </c>
      <c r="K140" s="16" t="str">
        <f t="shared" si="2"/>
        <v>131–160 Wh/km</v>
      </c>
      <c r="L140" s="16">
        <v>350</v>
      </c>
      <c r="M140" s="16" t="str">
        <f>IF(electric_vehicles_spec_2025_csv[[#This Row],[range_km]]&lt;=200, "0–200 km",IF(electric_vehicles_spec_2025_csv[[#This Row],[range_km]]&lt;=400, "201–400 km", "401+ km"))</f>
        <v>201–400 km</v>
      </c>
      <c r="N140" s="16">
        <v>8.1999999999999993</v>
      </c>
      <c r="O140" s="16" t="str">
        <f>IF(electric_vehicles_spec_2025_csv[[#This Row],[acceleration_0_100_s]]&lt;4,"0–3.9 s",IF(electric_vehicles_spec_2025_csv[[#This Row],[acceleration_0_100_s]]&lt;6,"4.0–5.9 s",IF(electric_vehicles_spec_2025_csv[[#This Row],[acceleration_0_100_s]]&lt;8,"6.0–7.9 s","8.0+ s")))</f>
        <v>8.0+ s</v>
      </c>
      <c r="P140" s="16">
        <v>75</v>
      </c>
      <c r="Q140" s="16" t="str">
        <f>IF(electric_vehicles_spec_2025_csv[[#This Row],[fast_charging_power_kw_dc]]&lt;50,"0–49 kW",IF(electric_vehicles_spec_2025_csv[[#This Row],[fast_charging_power_kw_dc]]&lt;100,"50–99 kW",IF(electric_vehicles_spec_2025_csv[[#This Row],[fast_charging_power_kw_dc]]&lt;150,"100–149 kW","150+ kW")))</f>
        <v>50–99 kW</v>
      </c>
      <c r="R140" s="16" t="s">
        <v>25</v>
      </c>
      <c r="S140" s="16">
        <v>0</v>
      </c>
      <c r="T140" s="16" t="s">
        <v>383</v>
      </c>
      <c r="U140" s="16">
        <v>5</v>
      </c>
      <c r="V140" s="16" t="s">
        <v>27</v>
      </c>
      <c r="W140" s="16" t="s">
        <v>137</v>
      </c>
      <c r="X140" s="16">
        <v>4871</v>
      </c>
      <c r="Y140" s="16">
        <v>1862</v>
      </c>
      <c r="Z140" s="16">
        <v>1500</v>
      </c>
      <c r="AA140" s="16" t="s">
        <v>125</v>
      </c>
      <c r="AB140" s="16" t="s">
        <v>388</v>
      </c>
    </row>
    <row r="141" spans="1:28" x14ac:dyDescent="0.3">
      <c r="A141" s="16" t="s">
        <v>389</v>
      </c>
      <c r="B141" s="16" t="s">
        <v>390</v>
      </c>
      <c r="C141" s="16">
        <v>225</v>
      </c>
      <c r="D14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141" s="16">
        <v>82.5</v>
      </c>
      <c r="F141" s="16" t="str">
        <f>IF(electric_vehicles_spec_2025_csv[[#This Row],[battery_capacity_kWh]]&lt;=30, "0–30 kWh", IF(electric_vehicles_spec_2025_csv[[#This Row],[battery_capacity_kWh]]&lt;=60, "31–60 kWh", "61+ kWh"))</f>
        <v>61+ kWh</v>
      </c>
      <c r="G141" s="16" t="s">
        <v>24</v>
      </c>
      <c r="H141" s="16"/>
      <c r="I141" s="16">
        <v>700</v>
      </c>
      <c r="J141" s="16">
        <v>159</v>
      </c>
      <c r="K141" s="16" t="str">
        <f t="shared" si="2"/>
        <v>131–160 Wh/km</v>
      </c>
      <c r="L141" s="16">
        <v>440</v>
      </c>
      <c r="M141" s="16" t="str">
        <f>IF(electric_vehicles_spec_2025_csv[[#This Row],[range_km]]&lt;=200, "0–200 km",IF(electric_vehicles_spec_2025_csv[[#This Row],[range_km]]&lt;=400, "201–400 km", "401+ km"))</f>
        <v>401+ km</v>
      </c>
      <c r="N141" s="16">
        <v>4.9000000000000004</v>
      </c>
      <c r="O141" s="16" t="str">
        <f>IF(electric_vehicles_spec_2025_csv[[#This Row],[acceleration_0_100_s]]&lt;4,"0–3.9 s",IF(electric_vehicles_spec_2025_csv[[#This Row],[acceleration_0_100_s]]&lt;6,"4.0–5.9 s",IF(electric_vehicles_spec_2025_csv[[#This Row],[acceleration_0_100_s]]&lt;8,"6.0–7.9 s","8.0+ s")))</f>
        <v>4.0–5.9 s</v>
      </c>
      <c r="P141" s="16">
        <v>160</v>
      </c>
      <c r="Q141" s="16" t="str">
        <f>IF(electric_vehicles_spec_2025_csv[[#This Row],[fast_charging_power_kw_dc]]&lt;50,"0–49 kW",IF(electric_vehicles_spec_2025_csv[[#This Row],[fast_charging_power_kw_dc]]&lt;100,"50–99 kW",IF(electric_vehicles_spec_2025_csv[[#This Row],[fast_charging_power_kw_dc]]&lt;150,"100–149 kW","150+ kW")))</f>
        <v>150+ kW</v>
      </c>
      <c r="R141" s="16" t="s">
        <v>25</v>
      </c>
      <c r="S141" s="16"/>
      <c r="T141" s="16" t="s">
        <v>391</v>
      </c>
      <c r="U141" s="16">
        <v>5</v>
      </c>
      <c r="V141" s="16" t="s">
        <v>70</v>
      </c>
      <c r="W141" s="16" t="s">
        <v>124</v>
      </c>
      <c r="X141" s="16">
        <v>5005</v>
      </c>
      <c r="Y141" s="16">
        <v>1925</v>
      </c>
      <c r="Z141" s="16">
        <v>1470</v>
      </c>
      <c r="AA141" s="16" t="s">
        <v>125</v>
      </c>
      <c r="AB141" s="16" t="s">
        <v>392</v>
      </c>
    </row>
    <row r="142" spans="1:28" x14ac:dyDescent="0.3">
      <c r="A142" s="16" t="s">
        <v>389</v>
      </c>
      <c r="B142" s="16" t="s">
        <v>393</v>
      </c>
      <c r="C142" s="16">
        <v>185</v>
      </c>
      <c r="D14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42" s="16">
        <v>74</v>
      </c>
      <c r="F142" s="16" t="str">
        <f>IF(electric_vehicles_spec_2025_csv[[#This Row],[battery_capacity_kWh]]&lt;=30, "0–30 kWh", IF(electric_vehicles_spec_2025_csv[[#This Row],[battery_capacity_kWh]]&lt;=60, "31–60 kWh", "61+ kWh"))</f>
        <v>61+ kWh</v>
      </c>
      <c r="G142" s="16" t="s">
        <v>24</v>
      </c>
      <c r="H142" s="16">
        <v>384</v>
      </c>
      <c r="I142" s="16">
        <v>350</v>
      </c>
      <c r="J142" s="16">
        <v>143</v>
      </c>
      <c r="K142" s="16" t="str">
        <f t="shared" si="2"/>
        <v>131–160 Wh/km</v>
      </c>
      <c r="L142" s="16">
        <v>390</v>
      </c>
      <c r="M142" s="16" t="str">
        <f>IF(electric_vehicles_spec_2025_csv[[#This Row],[range_km]]&lt;=200, "0–200 km",IF(electric_vehicles_spec_2025_csv[[#This Row],[range_km]]&lt;=400, "201–400 km", "401+ km"))</f>
        <v>201–400 km</v>
      </c>
      <c r="N142" s="16">
        <v>7.8</v>
      </c>
      <c r="O142" s="16" t="str">
        <f>IF(electric_vehicles_spec_2025_csv[[#This Row],[acceleration_0_100_s]]&lt;4,"0–3.9 s",IF(electric_vehicles_spec_2025_csv[[#This Row],[acceleration_0_100_s]]&lt;6,"4.0–5.9 s",IF(electric_vehicles_spec_2025_csv[[#This Row],[acceleration_0_100_s]]&lt;8,"6.0–7.9 s","8.0+ s")))</f>
        <v>6.0–7.9 s</v>
      </c>
      <c r="P142" s="16">
        <v>200</v>
      </c>
      <c r="Q142" s="16" t="str">
        <f>IF(electric_vehicles_spec_2025_csv[[#This Row],[fast_charging_power_kw_dc]]&lt;50,"0–49 kW",IF(electric_vehicles_spec_2025_csv[[#This Row],[fast_charging_power_kw_dc]]&lt;100,"50–99 kW",IF(electric_vehicles_spec_2025_csv[[#This Row],[fast_charging_power_kw_dc]]&lt;150,"100–149 kW","150+ kW")))</f>
        <v>150+ kW</v>
      </c>
      <c r="R142" s="16" t="s">
        <v>25</v>
      </c>
      <c r="S142" s="16">
        <v>1600</v>
      </c>
      <c r="T142" s="16" t="s">
        <v>394</v>
      </c>
      <c r="U142" s="16">
        <v>5</v>
      </c>
      <c r="V142" s="16" t="s">
        <v>63</v>
      </c>
      <c r="W142" s="16" t="s">
        <v>43</v>
      </c>
      <c r="X142" s="16">
        <v>4515</v>
      </c>
      <c r="Y142" s="16">
        <v>1890</v>
      </c>
      <c r="Z142" s="16">
        <v>1580</v>
      </c>
      <c r="AA142" s="16" t="s">
        <v>36</v>
      </c>
      <c r="AB142" s="16" t="s">
        <v>395</v>
      </c>
    </row>
    <row r="143" spans="1:28" x14ac:dyDescent="0.3">
      <c r="A143" s="16" t="s">
        <v>389</v>
      </c>
      <c r="B143" s="16" t="s">
        <v>396</v>
      </c>
      <c r="C143" s="16">
        <v>200</v>
      </c>
      <c r="D14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43" s="16">
        <v>74</v>
      </c>
      <c r="F143" s="16" t="str">
        <f>IF(electric_vehicles_spec_2025_csv[[#This Row],[battery_capacity_kWh]]&lt;=30, "0–30 kWh", IF(electric_vehicles_spec_2025_csv[[#This Row],[battery_capacity_kWh]]&lt;=60, "31–60 kWh", "61+ kWh"))</f>
        <v>61+ kWh</v>
      </c>
      <c r="G143" s="16" t="s">
        <v>24</v>
      </c>
      <c r="H143" s="16">
        <v>384</v>
      </c>
      <c r="I143" s="16">
        <v>605</v>
      </c>
      <c r="J143" s="16">
        <v>157</v>
      </c>
      <c r="K143" s="16" t="str">
        <f t="shared" si="2"/>
        <v>131–160 Wh/km</v>
      </c>
      <c r="L143" s="16">
        <v>375</v>
      </c>
      <c r="M143" s="16" t="str">
        <f>IF(electric_vehicles_spec_2025_csv[[#This Row],[range_km]]&lt;=200, "0–200 km",IF(electric_vehicles_spec_2025_csv[[#This Row],[range_km]]&lt;=400, "201–400 km", "401+ km"))</f>
        <v>201–400 km</v>
      </c>
      <c r="N143" s="16">
        <v>5.5</v>
      </c>
      <c r="O143" s="16" t="str">
        <f>IF(electric_vehicles_spec_2025_csv[[#This Row],[acceleration_0_100_s]]&lt;4,"0–3.9 s",IF(electric_vehicles_spec_2025_csv[[#This Row],[acceleration_0_100_s]]&lt;6,"4.0–5.9 s",IF(electric_vehicles_spec_2025_csv[[#This Row],[acceleration_0_100_s]]&lt;8,"6.0–7.9 s","8.0+ s")))</f>
        <v>4.0–5.9 s</v>
      </c>
      <c r="P143" s="16">
        <v>200</v>
      </c>
      <c r="Q143" s="16" t="str">
        <f>IF(electric_vehicles_spec_2025_csv[[#This Row],[fast_charging_power_kw_dc]]&lt;50,"0–49 kW",IF(electric_vehicles_spec_2025_csv[[#This Row],[fast_charging_power_kw_dc]]&lt;100,"50–99 kW",IF(electric_vehicles_spec_2025_csv[[#This Row],[fast_charging_power_kw_dc]]&lt;150,"100–149 kW","150+ kW")))</f>
        <v>150+ kW</v>
      </c>
      <c r="R143" s="16" t="s">
        <v>25</v>
      </c>
      <c r="S143" s="16">
        <v>1600</v>
      </c>
      <c r="T143" s="16" t="s">
        <v>394</v>
      </c>
      <c r="U143" s="16">
        <v>5</v>
      </c>
      <c r="V143" s="16" t="s">
        <v>70</v>
      </c>
      <c r="W143" s="16" t="s">
        <v>43</v>
      </c>
      <c r="X143" s="16">
        <v>4515</v>
      </c>
      <c r="Y143" s="16">
        <v>1890</v>
      </c>
      <c r="Z143" s="16">
        <v>1580</v>
      </c>
      <c r="AA143" s="16" t="s">
        <v>36</v>
      </c>
      <c r="AB143" s="16" t="s">
        <v>397</v>
      </c>
    </row>
    <row r="144" spans="1:28" x14ac:dyDescent="0.3">
      <c r="A144" s="16" t="s">
        <v>389</v>
      </c>
      <c r="B144" s="16" t="s">
        <v>398</v>
      </c>
      <c r="C144" s="16">
        <v>235</v>
      </c>
      <c r="D14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144" s="16">
        <v>74</v>
      </c>
      <c r="F144" s="16" t="str">
        <f>IF(electric_vehicles_spec_2025_csv[[#This Row],[battery_capacity_kWh]]&lt;=30, "0–30 kWh", IF(electric_vehicles_spec_2025_csv[[#This Row],[battery_capacity_kWh]]&lt;=60, "31–60 kWh", "61+ kWh"))</f>
        <v>61+ kWh</v>
      </c>
      <c r="G144" s="16" t="s">
        <v>24</v>
      </c>
      <c r="H144" s="16">
        <v>384</v>
      </c>
      <c r="I144" s="16">
        <v>700</v>
      </c>
      <c r="J144" s="16">
        <v>159</v>
      </c>
      <c r="K144" s="16" t="str">
        <f t="shared" si="2"/>
        <v>131–160 Wh/km</v>
      </c>
      <c r="L144" s="16">
        <v>360</v>
      </c>
      <c r="M144" s="16" t="str">
        <f>IF(electric_vehicles_spec_2025_csv[[#This Row],[range_km]]&lt;=200, "0–200 km",IF(electric_vehicles_spec_2025_csv[[#This Row],[range_km]]&lt;=400, "201–400 km", "401+ km"))</f>
        <v>201–400 km</v>
      </c>
      <c r="N144" s="16">
        <v>4</v>
      </c>
      <c r="O144" s="16" t="str">
        <f>IF(electric_vehicles_spec_2025_csv[[#This Row],[acceleration_0_100_s]]&lt;4,"0–3.9 s",IF(electric_vehicles_spec_2025_csv[[#This Row],[acceleration_0_100_s]]&lt;6,"4.0–5.9 s",IF(electric_vehicles_spec_2025_csv[[#This Row],[acceleration_0_100_s]]&lt;8,"6.0–7.9 s","8.0+ s")))</f>
        <v>4.0–5.9 s</v>
      </c>
      <c r="P144" s="16">
        <v>200</v>
      </c>
      <c r="Q144" s="16" t="str">
        <f>IF(electric_vehicles_spec_2025_csv[[#This Row],[fast_charging_power_kw_dc]]&lt;50,"0–49 kW",IF(electric_vehicles_spec_2025_csv[[#This Row],[fast_charging_power_kw_dc]]&lt;100,"50–99 kW",IF(electric_vehicles_spec_2025_csv[[#This Row],[fast_charging_power_kw_dc]]&lt;150,"100–149 kW","150+ kW")))</f>
        <v>150+ kW</v>
      </c>
      <c r="R144" s="16" t="s">
        <v>25</v>
      </c>
      <c r="S144" s="16">
        <v>1600</v>
      </c>
      <c r="T144" s="16" t="s">
        <v>394</v>
      </c>
      <c r="U144" s="16">
        <v>5</v>
      </c>
      <c r="V144" s="16" t="s">
        <v>70</v>
      </c>
      <c r="W144" s="16" t="s">
        <v>43</v>
      </c>
      <c r="X144" s="16">
        <v>4515</v>
      </c>
      <c r="Y144" s="16">
        <v>1890</v>
      </c>
      <c r="Z144" s="16">
        <v>1580</v>
      </c>
      <c r="AA144" s="16" t="s">
        <v>36</v>
      </c>
      <c r="AB144" s="16" t="s">
        <v>399</v>
      </c>
    </row>
    <row r="145" spans="1:28" x14ac:dyDescent="0.3">
      <c r="A145" s="16" t="s">
        <v>389</v>
      </c>
      <c r="B145" s="16" t="s">
        <v>400</v>
      </c>
      <c r="C145" s="16">
        <v>235</v>
      </c>
      <c r="D14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145" s="16">
        <v>74</v>
      </c>
      <c r="F145" s="16" t="str">
        <f>IF(electric_vehicles_spec_2025_csv[[#This Row],[battery_capacity_kWh]]&lt;=30, "0–30 kWh", IF(electric_vehicles_spec_2025_csv[[#This Row],[battery_capacity_kWh]]&lt;=60, "31–60 kWh", "61+ kWh"))</f>
        <v>61+ kWh</v>
      </c>
      <c r="G145" s="16" t="s">
        <v>24</v>
      </c>
      <c r="H145" s="16">
        <v>384</v>
      </c>
      <c r="I145" s="16">
        <v>700</v>
      </c>
      <c r="J145" s="16">
        <v>163</v>
      </c>
      <c r="K145" s="16" t="str">
        <f t="shared" si="2"/>
        <v>161+ Wh/km</v>
      </c>
      <c r="L145" s="16">
        <v>350</v>
      </c>
      <c r="M145" s="16" t="str">
        <f>IF(electric_vehicles_spec_2025_csv[[#This Row],[range_km]]&lt;=200, "0–200 km",IF(electric_vehicles_spec_2025_csv[[#This Row],[range_km]]&lt;=400, "201–400 km", "401+ km"))</f>
        <v>201–400 km</v>
      </c>
      <c r="N145" s="16">
        <v>4.2</v>
      </c>
      <c r="O145" s="16" t="str">
        <f>IF(electric_vehicles_spec_2025_csv[[#This Row],[acceleration_0_100_s]]&lt;4,"0–3.9 s",IF(electric_vehicles_spec_2025_csv[[#This Row],[acceleration_0_100_s]]&lt;6,"4.0–5.9 s",IF(electric_vehicles_spec_2025_csv[[#This Row],[acceleration_0_100_s]]&lt;8,"6.0–7.9 s","8.0+ s")))</f>
        <v>4.0–5.9 s</v>
      </c>
      <c r="P145" s="16">
        <v>190</v>
      </c>
      <c r="Q145" s="16" t="str">
        <f>IF(electric_vehicles_spec_2025_csv[[#This Row],[fast_charging_power_kw_dc]]&lt;50,"0–49 kW",IF(electric_vehicles_spec_2025_csv[[#This Row],[fast_charging_power_kw_dc]]&lt;100,"50–99 kW",IF(electric_vehicles_spec_2025_csv[[#This Row],[fast_charging_power_kw_dc]]&lt;150,"100–149 kW","150+ kW")))</f>
        <v>150+ kW</v>
      </c>
      <c r="R145" s="16" t="s">
        <v>25</v>
      </c>
      <c r="S145" s="16">
        <v>1800</v>
      </c>
      <c r="T145" s="16" t="s">
        <v>401</v>
      </c>
      <c r="U145" s="16">
        <v>5</v>
      </c>
      <c r="V145" s="16" t="s">
        <v>70</v>
      </c>
      <c r="W145" s="16" t="s">
        <v>99</v>
      </c>
      <c r="X145" s="16">
        <v>4715</v>
      </c>
      <c r="Y145" s="16">
        <v>1910</v>
      </c>
      <c r="Z145" s="16">
        <v>1630</v>
      </c>
      <c r="AA145" s="16" t="s">
        <v>36</v>
      </c>
      <c r="AB145" s="16" t="s">
        <v>402</v>
      </c>
    </row>
    <row r="146" spans="1:28" x14ac:dyDescent="0.3">
      <c r="A146" s="16" t="s">
        <v>403</v>
      </c>
      <c r="B146" s="16" t="s">
        <v>404</v>
      </c>
      <c r="C146" s="16">
        <v>160</v>
      </c>
      <c r="D14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46" s="16">
        <v>61.9</v>
      </c>
      <c r="F146" s="16" t="str">
        <f>IF(electric_vehicles_spec_2025_csv[[#This Row],[battery_capacity_kWh]]&lt;=30, "0–30 kWh", IF(electric_vehicles_spec_2025_csv[[#This Row],[battery_capacity_kWh]]&lt;=60, "31–60 kWh", "61+ kWh"))</f>
        <v>61+ kWh</v>
      </c>
      <c r="G146" s="16" t="s">
        <v>24</v>
      </c>
      <c r="H146" s="16"/>
      <c r="I146" s="16">
        <v>310</v>
      </c>
      <c r="J146" s="16">
        <v>150</v>
      </c>
      <c r="K146" s="16" t="str">
        <f t="shared" si="2"/>
        <v>131–160 Wh/km</v>
      </c>
      <c r="L146" s="16">
        <v>335</v>
      </c>
      <c r="M146" s="16" t="str">
        <f>IF(electric_vehicles_spec_2025_csv[[#This Row],[range_km]]&lt;=200, "0–200 km",IF(electric_vehicles_spec_2025_csv[[#This Row],[range_km]]&lt;=400, "201–400 km", "401+ km"))</f>
        <v>201–400 km</v>
      </c>
      <c r="N146" s="16">
        <v>7.6</v>
      </c>
      <c r="O146" s="16" t="str">
        <f>IF(electric_vehicles_spec_2025_csv[[#This Row],[acceleration_0_100_s]]&lt;4,"0–3.9 s",IF(electric_vehicles_spec_2025_csv[[#This Row],[acceleration_0_100_s]]&lt;6,"4.0–5.9 s",IF(electric_vehicles_spec_2025_csv[[#This Row],[acceleration_0_100_s]]&lt;8,"6.0–7.9 s","8.0+ s")))</f>
        <v>6.0–7.9 s</v>
      </c>
      <c r="P146" s="16">
        <v>60</v>
      </c>
      <c r="Q146" s="16" t="str">
        <f>IF(electric_vehicles_spec_2025_csv[[#This Row],[fast_charging_power_kw_dc]]&lt;50,"0–49 kW",IF(electric_vehicles_spec_2025_csv[[#This Row],[fast_charging_power_kw_dc]]&lt;100,"50–99 kW",IF(electric_vehicles_spec_2025_csv[[#This Row],[fast_charging_power_kw_dc]]&lt;150,"100–149 kW","150+ kW")))</f>
        <v>50–99 kW</v>
      </c>
      <c r="R146" s="16" t="s">
        <v>25</v>
      </c>
      <c r="S146" s="16">
        <v>0</v>
      </c>
      <c r="T146" s="16" t="s">
        <v>321</v>
      </c>
      <c r="U146" s="16">
        <v>5</v>
      </c>
      <c r="V146" s="16" t="s">
        <v>27</v>
      </c>
      <c r="W146" s="16" t="s">
        <v>35</v>
      </c>
      <c r="X146" s="16">
        <v>4387</v>
      </c>
      <c r="Y146" s="16">
        <v>1790</v>
      </c>
      <c r="Z146" s="16">
        <v>1584</v>
      </c>
      <c r="AA146" s="16" t="s">
        <v>36</v>
      </c>
      <c r="AB146" s="16" t="s">
        <v>405</v>
      </c>
    </row>
    <row r="147" spans="1:28" x14ac:dyDescent="0.3">
      <c r="A147" s="16" t="s">
        <v>406</v>
      </c>
      <c r="B147" s="16" t="s">
        <v>407</v>
      </c>
      <c r="C147" s="16">
        <v>200</v>
      </c>
      <c r="D14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47" s="16">
        <v>112</v>
      </c>
      <c r="F147" s="16" t="str">
        <f>IF(electric_vehicles_spec_2025_csv[[#This Row],[battery_capacity_kWh]]&lt;=30, "0–30 kWh", IF(electric_vehicles_spec_2025_csv[[#This Row],[battery_capacity_kWh]]&lt;=60, "31–60 kWh", "61+ kWh"))</f>
        <v>61+ kWh</v>
      </c>
      <c r="G147" s="16" t="s">
        <v>24</v>
      </c>
      <c r="H147" s="16"/>
      <c r="I147" s="16">
        <v>750</v>
      </c>
      <c r="J147" s="16">
        <v>217</v>
      </c>
      <c r="K147" s="16" t="str">
        <f t="shared" si="2"/>
        <v>161+ Wh/km</v>
      </c>
      <c r="L147" s="16">
        <v>455</v>
      </c>
      <c r="M147" s="16" t="str">
        <f>IF(electric_vehicles_spec_2025_csv[[#This Row],[range_km]]&lt;=200, "0–200 km",IF(electric_vehicles_spec_2025_csv[[#This Row],[range_km]]&lt;=400, "201–400 km", "401+ km"))</f>
        <v>401+ km</v>
      </c>
      <c r="N147" s="16">
        <v>4.9000000000000004</v>
      </c>
      <c r="O147" s="16" t="str">
        <f>IF(electric_vehicles_spec_2025_csv[[#This Row],[acceleration_0_100_s]]&lt;4,"0–3.9 s",IF(electric_vehicles_spec_2025_csv[[#This Row],[acceleration_0_100_s]]&lt;6,"4.0–5.9 s",IF(electric_vehicles_spec_2025_csv[[#This Row],[acceleration_0_100_s]]&lt;8,"6.0–7.9 s","8.0+ s")))</f>
        <v>4.0–5.9 s</v>
      </c>
      <c r="P147" s="16">
        <v>110</v>
      </c>
      <c r="Q147" s="16" t="str">
        <f>IF(electric_vehicles_spec_2025_csv[[#This Row],[fast_charging_power_kw_dc]]&lt;50,"0–49 kW",IF(electric_vehicles_spec_2025_csv[[#This Row],[fast_charging_power_kw_dc]]&lt;100,"50–99 kW",IF(electric_vehicles_spec_2025_csv[[#This Row],[fast_charging_power_kw_dc]]&lt;150,"100–149 kW","150+ kW")))</f>
        <v>100–149 kW</v>
      </c>
      <c r="R147" s="16" t="s">
        <v>25</v>
      </c>
      <c r="S147" s="16">
        <v>1500</v>
      </c>
      <c r="T147" s="16" t="s">
        <v>408</v>
      </c>
      <c r="U147" s="16">
        <v>5</v>
      </c>
      <c r="V147" s="16" t="s">
        <v>70</v>
      </c>
      <c r="W147" s="16" t="s">
        <v>239</v>
      </c>
      <c r="X147" s="16">
        <v>5209</v>
      </c>
      <c r="Y147" s="16">
        <v>2010</v>
      </c>
      <c r="Z147" s="16">
        <v>1731</v>
      </c>
      <c r="AA147" s="16" t="s">
        <v>36</v>
      </c>
      <c r="AB147" s="16" t="s">
        <v>409</v>
      </c>
    </row>
    <row r="148" spans="1:28" x14ac:dyDescent="0.3">
      <c r="A148" s="16" t="s">
        <v>406</v>
      </c>
      <c r="B148" s="16" t="s">
        <v>410</v>
      </c>
      <c r="C148" s="16">
        <v>200</v>
      </c>
      <c r="D14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48" s="16">
        <v>76.5</v>
      </c>
      <c r="F148" s="16" t="str">
        <f>IF(electric_vehicles_spec_2025_csv[[#This Row],[battery_capacity_kWh]]&lt;=30, "0–30 kWh", IF(electric_vehicles_spec_2025_csv[[#This Row],[battery_capacity_kWh]]&lt;=60, "31–60 kWh", "61+ kWh"))</f>
        <v>61+ kWh</v>
      </c>
      <c r="G148" s="16" t="s">
        <v>24</v>
      </c>
      <c r="H148" s="16"/>
      <c r="I148" s="16">
        <v>600</v>
      </c>
      <c r="J148" s="16">
        <v>193</v>
      </c>
      <c r="K148" s="16" t="str">
        <f t="shared" si="2"/>
        <v>161+ Wh/km</v>
      </c>
      <c r="L148" s="16">
        <v>320</v>
      </c>
      <c r="M148" s="16" t="str">
        <f>IF(electric_vehicles_spec_2025_csv[[#This Row],[range_km]]&lt;=200, "0–200 km",IF(electric_vehicles_spec_2025_csv[[#This Row],[range_km]]&lt;=400, "201–400 km", "401+ km"))</f>
        <v>201–400 km</v>
      </c>
      <c r="N148" s="16">
        <v>6.5</v>
      </c>
      <c r="O148" s="16" t="str">
        <f>IF(electric_vehicles_spec_2025_csv[[#This Row],[acceleration_0_100_s]]&lt;4,"0–3.9 s",IF(electric_vehicles_spec_2025_csv[[#This Row],[acceleration_0_100_s]]&lt;6,"4.0–5.9 s",IF(electric_vehicles_spec_2025_csv[[#This Row],[acceleration_0_100_s]]&lt;8,"6.0–7.9 s","8.0+ s")))</f>
        <v>6.0–7.9 s</v>
      </c>
      <c r="P148" s="16">
        <v>112</v>
      </c>
      <c r="Q148" s="16" t="str">
        <f>IF(electric_vehicles_spec_2025_csv[[#This Row],[fast_charging_power_kw_dc]]&lt;50,"0–49 kW",IF(electric_vehicles_spec_2025_csv[[#This Row],[fast_charging_power_kw_dc]]&lt;100,"50–99 kW",IF(electric_vehicles_spec_2025_csv[[#This Row],[fast_charging_power_kw_dc]]&lt;150,"100–149 kW","150+ kW")))</f>
        <v>100–149 kW</v>
      </c>
      <c r="R148" s="16" t="s">
        <v>25</v>
      </c>
      <c r="S148" s="16">
        <v>1500</v>
      </c>
      <c r="T148" s="16" t="s">
        <v>408</v>
      </c>
      <c r="U148" s="16">
        <v>5</v>
      </c>
      <c r="V148" s="16" t="s">
        <v>70</v>
      </c>
      <c r="W148" s="16" t="s">
        <v>239</v>
      </c>
      <c r="X148" s="16">
        <v>5209</v>
      </c>
      <c r="Y148" s="16">
        <v>2010</v>
      </c>
      <c r="Z148" s="16">
        <v>1731</v>
      </c>
      <c r="AA148" s="16" t="s">
        <v>36</v>
      </c>
      <c r="AB148" s="16" t="s">
        <v>411</v>
      </c>
    </row>
    <row r="149" spans="1:28" x14ac:dyDescent="0.3">
      <c r="A149" s="16" t="s">
        <v>406</v>
      </c>
      <c r="B149" s="16" t="s">
        <v>412</v>
      </c>
      <c r="C149" s="16">
        <v>200</v>
      </c>
      <c r="D14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49" s="16">
        <v>90</v>
      </c>
      <c r="F149" s="16" t="str">
        <f>IF(electric_vehicles_spec_2025_csv[[#This Row],[battery_capacity_kWh]]&lt;=30, "0–30 kWh", IF(electric_vehicles_spec_2025_csv[[#This Row],[battery_capacity_kWh]]&lt;=60, "31–60 kWh", "61+ kWh"))</f>
        <v>61+ kWh</v>
      </c>
      <c r="G149" s="16" t="s">
        <v>24</v>
      </c>
      <c r="H149" s="16"/>
      <c r="I149" s="16">
        <v>750</v>
      </c>
      <c r="J149" s="16">
        <v>194</v>
      </c>
      <c r="K149" s="16" t="str">
        <f t="shared" si="2"/>
        <v>161+ Wh/km</v>
      </c>
      <c r="L149" s="16">
        <v>370</v>
      </c>
      <c r="M149" s="16" t="str">
        <f>IF(electric_vehicles_spec_2025_csv[[#This Row],[range_km]]&lt;=200, "0–200 km",IF(electric_vehicles_spec_2025_csv[[#This Row],[range_km]]&lt;=400, "201–400 km", "401+ km"))</f>
        <v>201–400 km</v>
      </c>
      <c r="N149" s="16">
        <v>4.9000000000000004</v>
      </c>
      <c r="O149" s="16" t="str">
        <f>IF(electric_vehicles_spec_2025_csv[[#This Row],[acceleration_0_100_s]]&lt;4,"0–3.9 s",IF(electric_vehicles_spec_2025_csv[[#This Row],[acceleration_0_100_s]]&lt;6,"4.0–5.9 s",IF(electric_vehicles_spec_2025_csv[[#This Row],[acceleration_0_100_s]]&lt;8,"6.0–7.9 s","8.0+ s")))</f>
        <v>4.0–5.9 s</v>
      </c>
      <c r="P149" s="16">
        <v>112</v>
      </c>
      <c r="Q149" s="16" t="str">
        <f>IF(electric_vehicles_spec_2025_csv[[#This Row],[fast_charging_power_kw_dc]]&lt;50,"0–49 kW",IF(electric_vehicles_spec_2025_csv[[#This Row],[fast_charging_power_kw_dc]]&lt;100,"50–99 kW",IF(electric_vehicles_spec_2025_csv[[#This Row],[fast_charging_power_kw_dc]]&lt;150,"100–149 kW","150+ kW")))</f>
        <v>100–149 kW</v>
      </c>
      <c r="R149" s="16" t="s">
        <v>25</v>
      </c>
      <c r="S149" s="16">
        <v>1500</v>
      </c>
      <c r="T149" s="16" t="s">
        <v>408</v>
      </c>
      <c r="U149" s="16">
        <v>5</v>
      </c>
      <c r="V149" s="16" t="s">
        <v>70</v>
      </c>
      <c r="W149" s="16" t="s">
        <v>239</v>
      </c>
      <c r="X149" s="16">
        <v>5209</v>
      </c>
      <c r="Y149" s="16">
        <v>2010</v>
      </c>
      <c r="Z149" s="16">
        <v>1731</v>
      </c>
      <c r="AA149" s="16" t="s">
        <v>36</v>
      </c>
      <c r="AB149" s="16" t="s">
        <v>413</v>
      </c>
    </row>
    <row r="150" spans="1:28" x14ac:dyDescent="0.3">
      <c r="A150" s="16" t="s">
        <v>414</v>
      </c>
      <c r="B150" s="16" t="s">
        <v>415</v>
      </c>
      <c r="C150" s="16">
        <v>150</v>
      </c>
      <c r="D15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50" s="16">
        <v>46</v>
      </c>
      <c r="F150" s="16" t="str">
        <f>IF(electric_vehicles_spec_2025_csv[[#This Row],[battery_capacity_kWh]]&lt;=30, "0–30 kWh", IF(electric_vehicles_spec_2025_csv[[#This Row],[battery_capacity_kWh]]&lt;=60, "31–60 kWh", "61+ kWh"))</f>
        <v>31–60 kWh</v>
      </c>
      <c r="G150" s="16" t="s">
        <v>24</v>
      </c>
      <c r="H150" s="16"/>
      <c r="I150" s="16">
        <v>147</v>
      </c>
      <c r="J150" s="16">
        <v>124</v>
      </c>
      <c r="K150" s="16" t="str">
        <f t="shared" si="2"/>
        <v>0–130 Wh/km</v>
      </c>
      <c r="L150" s="16">
        <v>300</v>
      </c>
      <c r="M150" s="16" t="str">
        <f>IF(electric_vehicles_spec_2025_csv[[#This Row],[range_km]]&lt;=200, "0–200 km",IF(electric_vehicles_spec_2025_csv[[#This Row],[range_km]]&lt;=400, "201–400 km", "401+ km"))</f>
        <v>201–400 km</v>
      </c>
      <c r="N150" s="16">
        <v>10.6</v>
      </c>
      <c r="O150" s="16" t="str">
        <f>IF(electric_vehicles_spec_2025_csv[[#This Row],[acceleration_0_100_s]]&lt;4,"0–3.9 s",IF(electric_vehicles_spec_2025_csv[[#This Row],[acceleration_0_100_s]]&lt;6,"4.0–5.9 s",IF(electric_vehicles_spec_2025_csv[[#This Row],[acceleration_0_100_s]]&lt;8,"6.0–7.9 s","8.0+ s")))</f>
        <v>8.0+ s</v>
      </c>
      <c r="P150" s="16">
        <v>70</v>
      </c>
      <c r="Q150" s="16" t="str">
        <f>IF(electric_vehicles_spec_2025_csv[[#This Row],[fast_charging_power_kw_dc]]&lt;50,"0–49 kW",IF(electric_vehicles_spec_2025_csv[[#This Row],[fast_charging_power_kw_dc]]&lt;100,"50–99 kW",IF(electric_vehicles_spec_2025_csv[[#This Row],[fast_charging_power_kw_dc]]&lt;150,"100–149 kW","150+ kW")))</f>
        <v>50–99 kW</v>
      </c>
      <c r="R150" s="16" t="s">
        <v>25</v>
      </c>
      <c r="S150" s="16"/>
      <c r="T150" s="16" t="s">
        <v>416</v>
      </c>
      <c r="U150" s="16">
        <v>4</v>
      </c>
      <c r="V150" s="16" t="s">
        <v>27</v>
      </c>
      <c r="W150" s="16" t="s">
        <v>417</v>
      </c>
      <c r="X150" s="16">
        <v>3825</v>
      </c>
      <c r="Y150" s="16">
        <v>1610</v>
      </c>
      <c r="Z150" s="16">
        <v>1575</v>
      </c>
      <c r="AA150" s="16" t="s">
        <v>36</v>
      </c>
      <c r="AB150" s="16" t="s">
        <v>418</v>
      </c>
    </row>
    <row r="151" spans="1:28" x14ac:dyDescent="0.3">
      <c r="A151" s="16" t="s">
        <v>414</v>
      </c>
      <c r="B151" s="16" t="s">
        <v>419</v>
      </c>
      <c r="C151" s="16">
        <v>140</v>
      </c>
      <c r="D15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51" s="16">
        <v>39</v>
      </c>
      <c r="F151" s="16" t="str">
        <f>IF(electric_vehicles_spec_2025_csv[[#This Row],[battery_capacity_kWh]]&lt;=30, "0–30 kWh", IF(electric_vehicles_spec_2025_csv[[#This Row],[battery_capacity_kWh]]&lt;=60, "31–60 kWh", "61+ kWh"))</f>
        <v>31–60 kWh</v>
      </c>
      <c r="G151" s="16" t="s">
        <v>24</v>
      </c>
      <c r="H151" s="16"/>
      <c r="I151" s="16">
        <v>147</v>
      </c>
      <c r="J151" s="16">
        <v>119</v>
      </c>
      <c r="K151" s="16" t="str">
        <f t="shared" si="2"/>
        <v>0–130 Wh/km</v>
      </c>
      <c r="L151" s="16">
        <v>255</v>
      </c>
      <c r="M151" s="16" t="str">
        <f>IF(electric_vehicles_spec_2025_csv[[#This Row],[range_km]]&lt;=200, "0–200 km",IF(electric_vehicles_spec_2025_csv[[#This Row],[range_km]]&lt;=400, "201–400 km", "401+ km"))</f>
        <v>201–400 km</v>
      </c>
      <c r="N151" s="16">
        <v>11.7</v>
      </c>
      <c r="O151" s="16" t="str">
        <f>IF(electric_vehicles_spec_2025_csv[[#This Row],[acceleration_0_100_s]]&lt;4,"0–3.9 s",IF(electric_vehicles_spec_2025_csv[[#This Row],[acceleration_0_100_s]]&lt;6,"4.0–5.9 s",IF(electric_vehicles_spec_2025_csv[[#This Row],[acceleration_0_100_s]]&lt;8,"6.0–7.9 s","8.0+ s")))</f>
        <v>8.0+ s</v>
      </c>
      <c r="P151" s="16">
        <v>60</v>
      </c>
      <c r="Q151" s="16" t="str">
        <f>IF(electric_vehicles_spec_2025_csv[[#This Row],[fast_charging_power_kw_dc]]&lt;50,"0–49 kW",IF(electric_vehicles_spec_2025_csv[[#This Row],[fast_charging_power_kw_dc]]&lt;100,"50–99 kW",IF(electric_vehicles_spec_2025_csv[[#This Row],[fast_charging_power_kw_dc]]&lt;150,"100–149 kW","150+ kW")))</f>
        <v>50–99 kW</v>
      </c>
      <c r="R151" s="16" t="s">
        <v>25</v>
      </c>
      <c r="S151" s="16"/>
      <c r="T151" s="16" t="s">
        <v>416</v>
      </c>
      <c r="U151" s="16">
        <v>4</v>
      </c>
      <c r="V151" s="16" t="s">
        <v>27</v>
      </c>
      <c r="W151" s="16" t="s">
        <v>417</v>
      </c>
      <c r="X151" s="16">
        <v>3825</v>
      </c>
      <c r="Y151" s="16">
        <v>1610</v>
      </c>
      <c r="Z151" s="16">
        <v>1575</v>
      </c>
      <c r="AA151" s="16" t="s">
        <v>36</v>
      </c>
      <c r="AB151" s="16" t="s">
        <v>420</v>
      </c>
    </row>
    <row r="152" spans="1:28" x14ac:dyDescent="0.3">
      <c r="A152" s="16" t="s">
        <v>414</v>
      </c>
      <c r="B152" s="16" t="s">
        <v>421</v>
      </c>
      <c r="C152" s="16">
        <v>185</v>
      </c>
      <c r="D15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52" s="16">
        <v>60</v>
      </c>
      <c r="F152" s="16" t="str">
        <f>IF(electric_vehicles_spec_2025_csv[[#This Row],[battery_capacity_kWh]]&lt;=30, "0–30 kWh", IF(electric_vehicles_spec_2025_csv[[#This Row],[battery_capacity_kWh]]&lt;=60, "31–60 kWh", "61+ kWh"))</f>
        <v>31–60 kWh</v>
      </c>
      <c r="G152" s="16" t="s">
        <v>24</v>
      </c>
      <c r="H152" s="16">
        <v>288</v>
      </c>
      <c r="I152" s="16">
        <v>350</v>
      </c>
      <c r="J152" s="16">
        <v>136</v>
      </c>
      <c r="K152" s="16" t="str">
        <f t="shared" si="2"/>
        <v>131–160 Wh/km</v>
      </c>
      <c r="L152" s="16">
        <v>345</v>
      </c>
      <c r="M152" s="16" t="str">
        <f>IF(electric_vehicles_spec_2025_csv[[#This Row],[range_km]]&lt;=200, "0–200 km",IF(electric_vehicles_spec_2025_csv[[#This Row],[range_km]]&lt;=400, "201–400 km", "401+ km"))</f>
        <v>201–400 km</v>
      </c>
      <c r="N152" s="16">
        <v>8.5</v>
      </c>
      <c r="O152" s="16" t="str">
        <f>IF(electric_vehicles_spec_2025_csv[[#This Row],[acceleration_0_100_s]]&lt;4,"0–3.9 s",IF(electric_vehicles_spec_2025_csv[[#This Row],[acceleration_0_100_s]]&lt;6,"4.0–5.9 s",IF(electric_vehicles_spec_2025_csv[[#This Row],[acceleration_0_100_s]]&lt;8,"6.0–7.9 s","8.0+ s")))</f>
        <v>8.0+ s</v>
      </c>
      <c r="P152" s="16">
        <v>150</v>
      </c>
      <c r="Q152" s="16" t="str">
        <f>IF(electric_vehicles_spec_2025_csv[[#This Row],[fast_charging_power_kw_dc]]&lt;50,"0–49 kW",IF(electric_vehicles_spec_2025_csv[[#This Row],[fast_charging_power_kw_dc]]&lt;100,"50–99 kW",IF(electric_vehicles_spec_2025_csv[[#This Row],[fast_charging_power_kw_dc]]&lt;150,"100–149 kW","150+ kW")))</f>
        <v>150+ kW</v>
      </c>
      <c r="R152" s="16" t="s">
        <v>25</v>
      </c>
      <c r="S152" s="16">
        <v>750</v>
      </c>
      <c r="T152" s="16" t="s">
        <v>80</v>
      </c>
      <c r="U152" s="16">
        <v>5</v>
      </c>
      <c r="V152" s="16" t="s">
        <v>63</v>
      </c>
      <c r="W152" s="16" t="s">
        <v>43</v>
      </c>
      <c r="X152" s="16">
        <v>4655</v>
      </c>
      <c r="Y152" s="16">
        <v>1890</v>
      </c>
      <c r="Z152" s="16">
        <v>1605</v>
      </c>
      <c r="AA152" s="16" t="s">
        <v>36</v>
      </c>
      <c r="AB152" s="16" t="s">
        <v>422</v>
      </c>
    </row>
    <row r="153" spans="1:28" x14ac:dyDescent="0.3">
      <c r="A153" s="16" t="s">
        <v>414</v>
      </c>
      <c r="B153" s="16" t="s">
        <v>423</v>
      </c>
      <c r="C153" s="16">
        <v>185</v>
      </c>
      <c r="D15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53" s="16">
        <v>80</v>
      </c>
      <c r="F153" s="16" t="str">
        <f>IF(electric_vehicles_spec_2025_csv[[#This Row],[battery_capacity_kWh]]&lt;=30, "0–30 kWh", IF(electric_vehicles_spec_2025_csv[[#This Row],[battery_capacity_kWh]]&lt;=60, "31–60 kWh", "61+ kWh"))</f>
        <v>61+ kWh</v>
      </c>
      <c r="G153" s="16" t="s">
        <v>24</v>
      </c>
      <c r="H153" s="16">
        <v>384</v>
      </c>
      <c r="I153" s="16">
        <v>605</v>
      </c>
      <c r="J153" s="16">
        <v>162</v>
      </c>
      <c r="K153" s="16" t="str">
        <f t="shared" si="2"/>
        <v>161+ Wh/km</v>
      </c>
      <c r="L153" s="16">
        <v>445</v>
      </c>
      <c r="M153" s="16" t="str">
        <f>IF(electric_vehicles_spec_2025_csv[[#This Row],[range_km]]&lt;=200, "0–200 km",IF(electric_vehicles_spec_2025_csv[[#This Row],[range_km]]&lt;=400, "201–400 km", "401+ km"))</f>
        <v>401+ km</v>
      </c>
      <c r="N153" s="16">
        <v>5.3</v>
      </c>
      <c r="O153" s="16" t="str">
        <f>IF(electric_vehicles_spec_2025_csv[[#This Row],[acceleration_0_100_s]]&lt;4,"0–3.9 s",IF(electric_vehicles_spec_2025_csv[[#This Row],[acceleration_0_100_s]]&lt;6,"4.0–5.9 s",IF(electric_vehicles_spec_2025_csv[[#This Row],[acceleration_0_100_s]]&lt;8,"6.0–7.9 s","8.0+ s")))</f>
        <v>4.0–5.9 s</v>
      </c>
      <c r="P153" s="16">
        <v>205</v>
      </c>
      <c r="Q153" s="16" t="str">
        <f>IF(electric_vehicles_spec_2025_csv[[#This Row],[fast_charging_power_kw_dc]]&lt;50,"0–49 kW",IF(electric_vehicles_spec_2025_csv[[#This Row],[fast_charging_power_kw_dc]]&lt;100,"50–99 kW",IF(electric_vehicles_spec_2025_csv[[#This Row],[fast_charging_power_kw_dc]]&lt;150,"100–149 kW","150+ kW")))</f>
        <v>150+ kW</v>
      </c>
      <c r="R153" s="16" t="s">
        <v>25</v>
      </c>
      <c r="S153" s="16">
        <v>1600</v>
      </c>
      <c r="T153" s="16" t="s">
        <v>80</v>
      </c>
      <c r="U153" s="16">
        <v>5</v>
      </c>
      <c r="V153" s="16" t="s">
        <v>70</v>
      </c>
      <c r="W153" s="16" t="s">
        <v>43</v>
      </c>
      <c r="X153" s="16">
        <v>4655</v>
      </c>
      <c r="Y153" s="16">
        <v>1890</v>
      </c>
      <c r="Z153" s="16">
        <v>1605</v>
      </c>
      <c r="AA153" s="16" t="s">
        <v>36</v>
      </c>
      <c r="AB153" s="16" t="s">
        <v>424</v>
      </c>
    </row>
    <row r="154" spans="1:28" x14ac:dyDescent="0.3">
      <c r="A154" s="16" t="s">
        <v>414</v>
      </c>
      <c r="B154" s="16" t="s">
        <v>425</v>
      </c>
      <c r="C154" s="16">
        <v>185</v>
      </c>
      <c r="D15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54" s="16">
        <v>80</v>
      </c>
      <c r="F154" s="16" t="str">
        <f>IF(electric_vehicles_spec_2025_csv[[#This Row],[battery_capacity_kWh]]&lt;=30, "0–30 kWh", IF(electric_vehicles_spec_2025_csv[[#This Row],[battery_capacity_kWh]]&lt;=60, "31–60 kWh", "61+ kWh"))</f>
        <v>61+ kWh</v>
      </c>
      <c r="G154" s="16" t="s">
        <v>24</v>
      </c>
      <c r="H154" s="16">
        <v>384</v>
      </c>
      <c r="I154" s="16">
        <v>350</v>
      </c>
      <c r="J154" s="16">
        <v>155</v>
      </c>
      <c r="K154" s="16" t="str">
        <f t="shared" si="2"/>
        <v>131–160 Wh/km</v>
      </c>
      <c r="L154" s="16">
        <v>450</v>
      </c>
      <c r="M154" s="16" t="str">
        <f>IF(electric_vehicles_spec_2025_csv[[#This Row],[range_km]]&lt;=200, "0–200 km",IF(electric_vehicles_spec_2025_csv[[#This Row],[range_km]]&lt;=400, "201–400 km", "401+ km"))</f>
        <v>401+ km</v>
      </c>
      <c r="N154" s="16">
        <v>7.5</v>
      </c>
      <c r="O154" s="16" t="str">
        <f>IF(electric_vehicles_spec_2025_csv[[#This Row],[acceleration_0_100_s]]&lt;4,"0–3.9 s",IF(electric_vehicles_spec_2025_csv[[#This Row],[acceleration_0_100_s]]&lt;6,"4.0–5.9 s",IF(electric_vehicles_spec_2025_csv[[#This Row],[acceleration_0_100_s]]&lt;8,"6.0–7.9 s","8.0+ s")))</f>
        <v>6.0–7.9 s</v>
      </c>
      <c r="P154" s="16">
        <v>205</v>
      </c>
      <c r="Q154" s="16" t="str">
        <f>IF(electric_vehicles_spec_2025_csv[[#This Row],[fast_charging_power_kw_dc]]&lt;50,"0–49 kW",IF(electric_vehicles_spec_2025_csv[[#This Row],[fast_charging_power_kw_dc]]&lt;100,"50–99 kW",IF(electric_vehicles_spec_2025_csv[[#This Row],[fast_charging_power_kw_dc]]&lt;150,"100–149 kW","150+ kW")))</f>
        <v>150+ kW</v>
      </c>
      <c r="R154" s="16" t="s">
        <v>25</v>
      </c>
      <c r="S154" s="16">
        <v>1600</v>
      </c>
      <c r="T154" s="16" t="s">
        <v>80</v>
      </c>
      <c r="U154" s="16">
        <v>5</v>
      </c>
      <c r="V154" s="16" t="s">
        <v>63</v>
      </c>
      <c r="W154" s="16" t="s">
        <v>43</v>
      </c>
      <c r="X154" s="16">
        <v>4655</v>
      </c>
      <c r="Y154" s="16">
        <v>1890</v>
      </c>
      <c r="Z154" s="16">
        <v>1605</v>
      </c>
      <c r="AA154" s="16" t="s">
        <v>36</v>
      </c>
      <c r="AB154" s="16" t="s">
        <v>426</v>
      </c>
    </row>
    <row r="155" spans="1:28" x14ac:dyDescent="0.3">
      <c r="A155" s="16" t="s">
        <v>414</v>
      </c>
      <c r="B155" s="16" t="s">
        <v>427</v>
      </c>
      <c r="C155" s="16">
        <v>260</v>
      </c>
      <c r="D15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55" s="16">
        <v>80</v>
      </c>
      <c r="F155" s="16" t="str">
        <f>IF(electric_vehicles_spec_2025_csv[[#This Row],[battery_capacity_kWh]]&lt;=30, "0–30 kWh", IF(electric_vehicles_spec_2025_csv[[#This Row],[battery_capacity_kWh]]&lt;=60, "31–60 kWh", "61+ kWh"))</f>
        <v>61+ kWh</v>
      </c>
      <c r="G155" s="16" t="s">
        <v>24</v>
      </c>
      <c r="H155" s="16">
        <v>384</v>
      </c>
      <c r="I155" s="16">
        <v>740</v>
      </c>
      <c r="J155" s="16">
        <v>179</v>
      </c>
      <c r="K155" s="16" t="str">
        <f t="shared" si="2"/>
        <v>161+ Wh/km</v>
      </c>
      <c r="L155" s="16">
        <v>390</v>
      </c>
      <c r="M155" s="16" t="str">
        <f>IF(electric_vehicles_spec_2025_csv[[#This Row],[range_km]]&lt;=200, "0–200 km",IF(electric_vehicles_spec_2025_csv[[#This Row],[range_km]]&lt;=400, "201–400 km", "401+ km"))</f>
        <v>201–400 km</v>
      </c>
      <c r="N155" s="16">
        <v>3.4</v>
      </c>
      <c r="O155" s="16" t="str">
        <f>IF(electric_vehicles_spec_2025_csv[[#This Row],[acceleration_0_100_s]]&lt;4,"0–3.9 s",IF(electric_vehicles_spec_2025_csv[[#This Row],[acceleration_0_100_s]]&lt;6,"4.0–5.9 s",IF(electric_vehicles_spec_2025_csv[[#This Row],[acceleration_0_100_s]]&lt;8,"6.0–7.9 s","8.0+ s")))</f>
        <v>0–3.9 s</v>
      </c>
      <c r="P155" s="16">
        <v>205</v>
      </c>
      <c r="Q155" s="16" t="str">
        <f>IF(electric_vehicles_spec_2025_csv[[#This Row],[fast_charging_power_kw_dc]]&lt;50,"0–49 kW",IF(electric_vehicles_spec_2025_csv[[#This Row],[fast_charging_power_kw_dc]]&lt;100,"50–99 kW",IF(electric_vehicles_spec_2025_csv[[#This Row],[fast_charging_power_kw_dc]]&lt;150,"100–149 kW","150+ kW")))</f>
        <v>150+ kW</v>
      </c>
      <c r="R155" s="16" t="s">
        <v>25</v>
      </c>
      <c r="S155" s="16">
        <v>0</v>
      </c>
      <c r="T155" s="16" t="s">
        <v>428</v>
      </c>
      <c r="U155" s="16">
        <v>5</v>
      </c>
      <c r="V155" s="16" t="s">
        <v>70</v>
      </c>
      <c r="W155" s="16" t="s">
        <v>43</v>
      </c>
      <c r="X155" s="16">
        <v>4715</v>
      </c>
      <c r="Y155" s="16">
        <v>1940</v>
      </c>
      <c r="Z155" s="16">
        <v>1585</v>
      </c>
      <c r="AA155" s="16" t="s">
        <v>36</v>
      </c>
      <c r="AB155" s="16" t="s">
        <v>429</v>
      </c>
    </row>
    <row r="156" spans="1:28" x14ac:dyDescent="0.3">
      <c r="A156" s="16" t="s">
        <v>414</v>
      </c>
      <c r="B156" s="16" t="s">
        <v>430</v>
      </c>
      <c r="C156" s="16">
        <v>185</v>
      </c>
      <c r="D15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56" s="16">
        <v>74</v>
      </c>
      <c r="F156" s="16" t="str">
        <f>IF(electric_vehicles_spec_2025_csv[[#This Row],[battery_capacity_kWh]]&lt;=30, "0–30 kWh", IF(electric_vehicles_spec_2025_csv[[#This Row],[battery_capacity_kWh]]&lt;=60, "31–60 kWh", "61+ kWh"))</f>
        <v>61+ kWh</v>
      </c>
      <c r="G156" s="16" t="s">
        <v>24</v>
      </c>
      <c r="H156" s="16">
        <v>384</v>
      </c>
      <c r="I156" s="16">
        <v>350</v>
      </c>
      <c r="J156" s="16">
        <v>136</v>
      </c>
      <c r="K156" s="16" t="str">
        <f t="shared" si="2"/>
        <v>131–160 Wh/km</v>
      </c>
      <c r="L156" s="16">
        <v>495</v>
      </c>
      <c r="M156" s="16" t="str">
        <f>IF(electric_vehicles_spec_2025_csv[[#This Row],[range_km]]&lt;=200, "0–200 km",IF(electric_vehicles_spec_2025_csv[[#This Row],[range_km]]&lt;=400, "201–400 km", "401+ km"))</f>
        <v>401+ km</v>
      </c>
      <c r="N156" s="16">
        <v>7.4</v>
      </c>
      <c r="O156" s="16" t="str">
        <f>IF(electric_vehicles_spec_2025_csv[[#This Row],[acceleration_0_100_s]]&lt;4,"0–3.9 s",IF(electric_vehicles_spec_2025_csv[[#This Row],[acceleration_0_100_s]]&lt;6,"4.0–5.9 s",IF(electric_vehicles_spec_2025_csv[[#This Row],[acceleration_0_100_s]]&lt;8,"6.0–7.9 s","8.0+ s")))</f>
        <v>6.0–7.9 s</v>
      </c>
      <c r="P156" s="16">
        <v>200</v>
      </c>
      <c r="Q156" s="16" t="str">
        <f>IF(electric_vehicles_spec_2025_csv[[#This Row],[fast_charging_power_kw_dc]]&lt;50,"0–49 kW",IF(electric_vehicles_spec_2025_csv[[#This Row],[fast_charging_power_kw_dc]]&lt;100,"50–99 kW",IF(electric_vehicles_spec_2025_csv[[#This Row],[fast_charging_power_kw_dc]]&lt;150,"100–149 kW","150+ kW")))</f>
        <v>150+ kW</v>
      </c>
      <c r="R156" s="16" t="s">
        <v>25</v>
      </c>
      <c r="S156" s="16">
        <v>1500</v>
      </c>
      <c r="T156" s="16" t="s">
        <v>431</v>
      </c>
      <c r="U156" s="16">
        <v>5</v>
      </c>
      <c r="V156" s="16" t="s">
        <v>63</v>
      </c>
      <c r="W156" s="16" t="s">
        <v>137</v>
      </c>
      <c r="X156" s="16">
        <v>4855</v>
      </c>
      <c r="Y156" s="16">
        <v>1880</v>
      </c>
      <c r="Z156" s="16">
        <v>1495</v>
      </c>
      <c r="AA156" s="16" t="s">
        <v>125</v>
      </c>
      <c r="AB156" s="16" t="s">
        <v>432</v>
      </c>
    </row>
    <row r="157" spans="1:28" x14ac:dyDescent="0.3">
      <c r="A157" s="16" t="s">
        <v>414</v>
      </c>
      <c r="B157" s="16" t="s">
        <v>433</v>
      </c>
      <c r="C157" s="16">
        <v>185</v>
      </c>
      <c r="D15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57" s="16">
        <v>74</v>
      </c>
      <c r="F157" s="16" t="str">
        <f>IF(electric_vehicles_spec_2025_csv[[#This Row],[battery_capacity_kWh]]&lt;=30, "0–30 kWh", IF(electric_vehicles_spec_2025_csv[[#This Row],[battery_capacity_kWh]]&lt;=60, "31–60 kWh", "61+ kWh"))</f>
        <v>61+ kWh</v>
      </c>
      <c r="G157" s="16" t="s">
        <v>24</v>
      </c>
      <c r="H157" s="16">
        <v>384</v>
      </c>
      <c r="I157" s="16">
        <v>605</v>
      </c>
      <c r="J157" s="16">
        <v>143</v>
      </c>
      <c r="K157" s="16" t="str">
        <f t="shared" si="2"/>
        <v>131–160 Wh/km</v>
      </c>
      <c r="L157" s="16">
        <v>440</v>
      </c>
      <c r="M157" s="16" t="str">
        <f>IF(electric_vehicles_spec_2025_csv[[#This Row],[range_km]]&lt;=200, "0–200 km",IF(electric_vehicles_spec_2025_csv[[#This Row],[range_km]]&lt;=400, "201–400 km", "401+ km"))</f>
        <v>401+ km</v>
      </c>
      <c r="N157" s="16">
        <v>5.0999999999999996</v>
      </c>
      <c r="O157" s="16" t="str">
        <f>IF(electric_vehicles_spec_2025_csv[[#This Row],[acceleration_0_100_s]]&lt;4,"0–3.9 s",IF(electric_vehicles_spec_2025_csv[[#This Row],[acceleration_0_100_s]]&lt;6,"4.0–5.9 s",IF(electric_vehicles_spec_2025_csv[[#This Row],[acceleration_0_100_s]]&lt;8,"6.0–7.9 s","8.0+ s")))</f>
        <v>4.0–5.9 s</v>
      </c>
      <c r="P157" s="16">
        <v>200</v>
      </c>
      <c r="Q157" s="16" t="str">
        <f>IF(electric_vehicles_spec_2025_csv[[#This Row],[fast_charging_power_kw_dc]]&lt;50,"0–49 kW",IF(electric_vehicles_spec_2025_csv[[#This Row],[fast_charging_power_kw_dc]]&lt;100,"50–99 kW",IF(electric_vehicles_spec_2025_csv[[#This Row],[fast_charging_power_kw_dc]]&lt;150,"100–149 kW","150+ kW")))</f>
        <v>150+ kW</v>
      </c>
      <c r="R157" s="16" t="s">
        <v>25</v>
      </c>
      <c r="S157" s="16">
        <v>1500</v>
      </c>
      <c r="T157" s="16" t="s">
        <v>431</v>
      </c>
      <c r="U157" s="16">
        <v>5</v>
      </c>
      <c r="V157" s="16" t="s">
        <v>70</v>
      </c>
      <c r="W157" s="16" t="s">
        <v>137</v>
      </c>
      <c r="X157" s="16">
        <v>4855</v>
      </c>
      <c r="Y157" s="16">
        <v>1880</v>
      </c>
      <c r="Z157" s="16">
        <v>1495</v>
      </c>
      <c r="AA157" s="16" t="s">
        <v>125</v>
      </c>
      <c r="AB157" s="16" t="s">
        <v>434</v>
      </c>
    </row>
    <row r="158" spans="1:28" x14ac:dyDescent="0.3">
      <c r="A158" s="16" t="s">
        <v>414</v>
      </c>
      <c r="B158" s="16" t="s">
        <v>435</v>
      </c>
      <c r="C158" s="16">
        <v>185</v>
      </c>
      <c r="D15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58" s="16">
        <v>50</v>
      </c>
      <c r="F158" s="16" t="str">
        <f>IF(electric_vehicles_spec_2025_csv[[#This Row],[battery_capacity_kWh]]&lt;=30, "0–30 kWh", IF(electric_vehicles_spec_2025_csv[[#This Row],[battery_capacity_kWh]]&lt;=60, "31–60 kWh", "61+ kWh"))</f>
        <v>31–60 kWh</v>
      </c>
      <c r="G158" s="16" t="s">
        <v>24</v>
      </c>
      <c r="H158" s="16">
        <v>264</v>
      </c>
      <c r="I158" s="16">
        <v>350</v>
      </c>
      <c r="J158" s="16">
        <v>117</v>
      </c>
      <c r="K158" s="16" t="str">
        <f t="shared" si="2"/>
        <v>0–130 Wh/km</v>
      </c>
      <c r="L158" s="16">
        <v>335</v>
      </c>
      <c r="M158" s="16" t="str">
        <f>IF(electric_vehicles_spec_2025_csv[[#This Row],[range_km]]&lt;=200, "0–200 km",IF(electric_vehicles_spec_2025_csv[[#This Row],[range_km]]&lt;=400, "201–400 km", "401+ km"))</f>
        <v>201–400 km</v>
      </c>
      <c r="N158" s="16">
        <v>8.8000000000000007</v>
      </c>
      <c r="O158" s="16" t="str">
        <f>IF(electric_vehicles_spec_2025_csv[[#This Row],[acceleration_0_100_s]]&lt;4,"0–3.9 s",IF(electric_vehicles_spec_2025_csv[[#This Row],[acceleration_0_100_s]]&lt;6,"4.0–5.9 s",IF(electric_vehicles_spec_2025_csv[[#This Row],[acceleration_0_100_s]]&lt;8,"6.0–7.9 s","8.0+ s")))</f>
        <v>8.0+ s</v>
      </c>
      <c r="P158" s="16">
        <v>120</v>
      </c>
      <c r="Q158" s="16" t="str">
        <f>IF(electric_vehicles_spec_2025_csv[[#This Row],[fast_charging_power_kw_dc]]&lt;50,"0–49 kW",IF(electric_vehicles_spec_2025_csv[[#This Row],[fast_charging_power_kw_dc]]&lt;100,"50–99 kW",IF(electric_vehicles_spec_2025_csv[[#This Row],[fast_charging_power_kw_dc]]&lt;150,"100–149 kW","150+ kW")))</f>
        <v>100–149 kW</v>
      </c>
      <c r="R158" s="16" t="s">
        <v>25</v>
      </c>
      <c r="S158" s="16">
        <v>750</v>
      </c>
      <c r="T158" s="16" t="s">
        <v>431</v>
      </c>
      <c r="U158" s="16">
        <v>5</v>
      </c>
      <c r="V158" s="16" t="s">
        <v>63</v>
      </c>
      <c r="W158" s="16" t="s">
        <v>137</v>
      </c>
      <c r="X158" s="16">
        <v>4855</v>
      </c>
      <c r="Y158" s="16">
        <v>1880</v>
      </c>
      <c r="Z158" s="16">
        <v>1495</v>
      </c>
      <c r="AA158" s="16" t="s">
        <v>125</v>
      </c>
      <c r="AB158" s="16" t="s">
        <v>436</v>
      </c>
    </row>
    <row r="159" spans="1:28" x14ac:dyDescent="0.3">
      <c r="A159" s="16" t="s">
        <v>414</v>
      </c>
      <c r="B159" s="16" t="s">
        <v>437</v>
      </c>
      <c r="C159" s="16">
        <v>200</v>
      </c>
      <c r="D15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59" s="16">
        <v>106</v>
      </c>
      <c r="F159" s="16" t="str">
        <f>IF(electric_vehicles_spec_2025_csv[[#This Row],[battery_capacity_kWh]]&lt;=30, "0–30 kWh", IF(electric_vehicles_spec_2025_csv[[#This Row],[battery_capacity_kWh]]&lt;=60, "31–60 kWh", "61+ kWh"))</f>
        <v>61+ kWh</v>
      </c>
      <c r="G159" s="16" t="s">
        <v>24</v>
      </c>
      <c r="H159" s="16"/>
      <c r="I159" s="16">
        <v>605</v>
      </c>
      <c r="J159" s="16">
        <v>177</v>
      </c>
      <c r="K159" s="16" t="str">
        <f t="shared" si="2"/>
        <v>161+ Wh/km</v>
      </c>
      <c r="L159" s="16">
        <v>490</v>
      </c>
      <c r="M159" s="16" t="str">
        <f>IF(electric_vehicles_spec_2025_csv[[#This Row],[range_km]]&lt;=200, "0–200 km",IF(electric_vehicles_spec_2025_csv[[#This Row],[range_km]]&lt;=400, "201–400 km", "401+ km"))</f>
        <v>401+ km</v>
      </c>
      <c r="N159" s="16">
        <v>6.7</v>
      </c>
      <c r="O159" s="16" t="str">
        <f>IF(electric_vehicles_spec_2025_csv[[#This Row],[acceleration_0_100_s]]&lt;4,"0–3.9 s",IF(electric_vehicles_spec_2025_csv[[#This Row],[acceleration_0_100_s]]&lt;6,"4.0–5.9 s",IF(electric_vehicles_spec_2025_csv[[#This Row],[acceleration_0_100_s]]&lt;8,"6.0–7.9 s","8.0+ s")))</f>
        <v>6.0–7.9 s</v>
      </c>
      <c r="P159" s="16">
        <v>195</v>
      </c>
      <c r="Q159" s="16" t="str">
        <f>IF(electric_vehicles_spec_2025_csv[[#This Row],[fast_charging_power_kw_dc]]&lt;50,"0–49 kW",IF(electric_vehicles_spec_2025_csv[[#This Row],[fast_charging_power_kw_dc]]&lt;100,"50–99 kW",IF(electric_vehicles_spec_2025_csv[[#This Row],[fast_charging_power_kw_dc]]&lt;150,"100–149 kW","150+ kW")))</f>
        <v>150+ kW</v>
      </c>
      <c r="R159" s="16" t="s">
        <v>25</v>
      </c>
      <c r="S159" s="16">
        <v>2500</v>
      </c>
      <c r="T159" s="16" t="s">
        <v>438</v>
      </c>
      <c r="U159" s="16">
        <v>7</v>
      </c>
      <c r="V159" s="16" t="s">
        <v>70</v>
      </c>
      <c r="W159" s="16" t="s">
        <v>239</v>
      </c>
      <c r="X159" s="16">
        <v>5060</v>
      </c>
      <c r="Y159" s="16">
        <v>1980</v>
      </c>
      <c r="Z159" s="16">
        <v>1790</v>
      </c>
      <c r="AA159" s="16" t="s">
        <v>36</v>
      </c>
      <c r="AB159" s="16" t="s">
        <v>439</v>
      </c>
    </row>
    <row r="160" spans="1:28" x14ac:dyDescent="0.3">
      <c r="A160" s="16" t="s">
        <v>414</v>
      </c>
      <c r="B160" s="16" t="s">
        <v>440</v>
      </c>
      <c r="C160" s="16">
        <v>185</v>
      </c>
      <c r="D16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60" s="16">
        <v>106</v>
      </c>
      <c r="F160" s="16" t="str">
        <f>IF(electric_vehicles_spec_2025_csv[[#This Row],[battery_capacity_kWh]]&lt;=30, "0–30 kWh", IF(electric_vehicles_spec_2025_csv[[#This Row],[battery_capacity_kWh]]&lt;=60, "31–60 kWh", "61+ kWh"))</f>
        <v>61+ kWh</v>
      </c>
      <c r="G160" s="16" t="s">
        <v>24</v>
      </c>
      <c r="H160" s="16"/>
      <c r="I160" s="16">
        <v>350</v>
      </c>
      <c r="J160" s="16">
        <v>171</v>
      </c>
      <c r="K160" s="16" t="str">
        <f t="shared" si="2"/>
        <v>161+ Wh/km</v>
      </c>
      <c r="L160" s="16">
        <v>500</v>
      </c>
      <c r="M160" s="16" t="str">
        <f>IF(electric_vehicles_spec_2025_csv[[#This Row],[range_km]]&lt;=200, "0–200 km",IF(electric_vehicles_spec_2025_csv[[#This Row],[range_km]]&lt;=400, "201–400 km", "401+ km"))</f>
        <v>401+ km</v>
      </c>
      <c r="N160" s="16">
        <v>9.4</v>
      </c>
      <c r="O160" s="16" t="str">
        <f>IF(electric_vehicles_spec_2025_csv[[#This Row],[acceleration_0_100_s]]&lt;4,"0–3.9 s",IF(electric_vehicles_spec_2025_csv[[#This Row],[acceleration_0_100_s]]&lt;6,"4.0–5.9 s",IF(electric_vehicles_spec_2025_csv[[#This Row],[acceleration_0_100_s]]&lt;8,"6.0–7.9 s","8.0+ s")))</f>
        <v>8.0+ s</v>
      </c>
      <c r="P160" s="16">
        <v>195</v>
      </c>
      <c r="Q160" s="16" t="str">
        <f>IF(electric_vehicles_spec_2025_csv[[#This Row],[fast_charging_power_kw_dc]]&lt;50,"0–49 kW",IF(electric_vehicles_spec_2025_csv[[#This Row],[fast_charging_power_kw_dc]]&lt;100,"50–99 kW",IF(electric_vehicles_spec_2025_csv[[#This Row],[fast_charging_power_kw_dc]]&lt;150,"100–149 kW","150+ kW")))</f>
        <v>150+ kW</v>
      </c>
      <c r="R160" s="16" t="s">
        <v>25</v>
      </c>
      <c r="S160" s="16">
        <v>1600</v>
      </c>
      <c r="T160" s="16" t="s">
        <v>438</v>
      </c>
      <c r="U160" s="16">
        <v>7</v>
      </c>
      <c r="V160" s="16" t="s">
        <v>63</v>
      </c>
      <c r="W160" s="16" t="s">
        <v>239</v>
      </c>
      <c r="X160" s="16">
        <v>5060</v>
      </c>
      <c r="Y160" s="16">
        <v>1980</v>
      </c>
      <c r="Z160" s="16">
        <v>1790</v>
      </c>
      <c r="AA160" s="16" t="s">
        <v>36</v>
      </c>
      <c r="AB160" s="16" t="s">
        <v>441</v>
      </c>
    </row>
    <row r="161" spans="1:28" x14ac:dyDescent="0.3">
      <c r="A161" s="16" t="s">
        <v>414</v>
      </c>
      <c r="B161" s="16" t="s">
        <v>442</v>
      </c>
      <c r="C161" s="16">
        <v>200</v>
      </c>
      <c r="D16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61" s="16">
        <v>106</v>
      </c>
      <c r="F161" s="16" t="str">
        <f>IF(electric_vehicles_spec_2025_csv[[#This Row],[battery_capacity_kWh]]&lt;=30, "0–30 kWh", IF(electric_vehicles_spec_2025_csv[[#This Row],[battery_capacity_kWh]]&lt;=60, "31–60 kWh", "61+ kWh"))</f>
        <v>61+ kWh</v>
      </c>
      <c r="G161" s="16" t="s">
        <v>24</v>
      </c>
      <c r="H161" s="16"/>
      <c r="I161" s="16">
        <v>700</v>
      </c>
      <c r="J161" s="16">
        <v>177</v>
      </c>
      <c r="K161" s="16" t="str">
        <f t="shared" si="2"/>
        <v>161+ Wh/km</v>
      </c>
      <c r="L161" s="16">
        <v>480</v>
      </c>
      <c r="M161" s="16" t="str">
        <f>IF(electric_vehicles_spec_2025_csv[[#This Row],[range_km]]&lt;=200, "0–200 km",IF(electric_vehicles_spec_2025_csv[[#This Row],[range_km]]&lt;=400, "201–400 km", "401+ km"))</f>
        <v>401+ km</v>
      </c>
      <c r="N161" s="16">
        <v>5.2</v>
      </c>
      <c r="O161" s="16" t="str">
        <f>IF(electric_vehicles_spec_2025_csv[[#This Row],[acceleration_0_100_s]]&lt;4,"0–3.9 s",IF(electric_vehicles_spec_2025_csv[[#This Row],[acceleration_0_100_s]]&lt;6,"4.0–5.9 s",IF(electric_vehicles_spec_2025_csv[[#This Row],[acceleration_0_100_s]]&lt;8,"6.0–7.9 s","8.0+ s")))</f>
        <v>4.0–5.9 s</v>
      </c>
      <c r="P161" s="16">
        <v>195</v>
      </c>
      <c r="Q161" s="16" t="str">
        <f>IF(electric_vehicles_spec_2025_csv[[#This Row],[fast_charging_power_kw_dc]]&lt;50,"0–49 kW",IF(electric_vehicles_spec_2025_csv[[#This Row],[fast_charging_power_kw_dc]]&lt;100,"50–99 kW",IF(electric_vehicles_spec_2025_csv[[#This Row],[fast_charging_power_kw_dc]]&lt;150,"100–149 kW","150+ kW")))</f>
        <v>150+ kW</v>
      </c>
      <c r="R161" s="16" t="s">
        <v>25</v>
      </c>
      <c r="S161" s="16">
        <v>2500</v>
      </c>
      <c r="T161" s="16" t="s">
        <v>438</v>
      </c>
      <c r="U161" s="16">
        <v>7</v>
      </c>
      <c r="V161" s="16" t="s">
        <v>70</v>
      </c>
      <c r="W161" s="16" t="s">
        <v>239</v>
      </c>
      <c r="X161" s="16">
        <v>5060</v>
      </c>
      <c r="Y161" s="16">
        <v>1980</v>
      </c>
      <c r="Z161" s="16">
        <v>1790</v>
      </c>
      <c r="AA161" s="16" t="s">
        <v>36</v>
      </c>
      <c r="AB161" s="16" t="s">
        <v>443</v>
      </c>
    </row>
    <row r="162" spans="1:28" x14ac:dyDescent="0.3">
      <c r="A162" s="16" t="s">
        <v>414</v>
      </c>
      <c r="B162" s="16" t="s">
        <v>444</v>
      </c>
      <c r="C162" s="16">
        <v>160</v>
      </c>
      <c r="D16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62" s="16">
        <v>48.4</v>
      </c>
      <c r="F162" s="16" t="str">
        <f>IF(electric_vehicles_spec_2025_csv[[#This Row],[battery_capacity_kWh]]&lt;=30, "0–30 kWh", IF(electric_vehicles_spec_2025_csv[[#This Row],[battery_capacity_kWh]]&lt;=60, "31–60 kWh", "61+ kWh"))</f>
        <v>31–60 kWh</v>
      </c>
      <c r="G162" s="16" t="s">
        <v>24</v>
      </c>
      <c r="H162" s="16"/>
      <c r="I162" s="16">
        <v>255</v>
      </c>
      <c r="J162" s="16">
        <v>128</v>
      </c>
      <c r="K162" s="16" t="str">
        <f t="shared" si="2"/>
        <v>0–130 Wh/km</v>
      </c>
      <c r="L162" s="16">
        <v>295</v>
      </c>
      <c r="M162" s="16" t="str">
        <f>IF(electric_vehicles_spec_2025_csv[[#This Row],[range_km]]&lt;=200, "0–200 km",IF(electric_vehicles_spec_2025_csv[[#This Row],[range_km]]&lt;=400, "201–400 km", "401+ km"))</f>
        <v>201–400 km</v>
      </c>
      <c r="N162" s="16">
        <v>8.8000000000000007</v>
      </c>
      <c r="O162" s="16" t="str">
        <f>IF(electric_vehicles_spec_2025_csv[[#This Row],[acceleration_0_100_s]]&lt;4,"0–3.9 s",IF(electric_vehicles_spec_2025_csv[[#This Row],[acceleration_0_100_s]]&lt;6,"4.0–5.9 s",IF(electric_vehicles_spec_2025_csv[[#This Row],[acceleration_0_100_s]]&lt;8,"6.0–7.9 s","8.0+ s")))</f>
        <v>8.0+ s</v>
      </c>
      <c r="P162" s="16">
        <v>50</v>
      </c>
      <c r="Q162" s="16" t="str">
        <f>IF(electric_vehicles_spec_2025_csv[[#This Row],[fast_charging_power_kw_dc]]&lt;50,"0–49 kW",IF(electric_vehicles_spec_2025_csv[[#This Row],[fast_charging_power_kw_dc]]&lt;100,"50–99 kW",IF(electric_vehicles_spec_2025_csv[[#This Row],[fast_charging_power_kw_dc]]&lt;150,"100–149 kW","150+ kW")))</f>
        <v>50–99 kW</v>
      </c>
      <c r="R162" s="16" t="s">
        <v>25</v>
      </c>
      <c r="S162" s="16">
        <v>300</v>
      </c>
      <c r="T162" s="16" t="s">
        <v>445</v>
      </c>
      <c r="U162" s="16">
        <v>5</v>
      </c>
      <c r="V162" s="16" t="s">
        <v>27</v>
      </c>
      <c r="W162" s="16" t="s">
        <v>35</v>
      </c>
      <c r="X162" s="16">
        <v>4355</v>
      </c>
      <c r="Y162" s="16">
        <v>1825</v>
      </c>
      <c r="Z162" s="16">
        <v>1575</v>
      </c>
      <c r="AA162" s="16" t="s">
        <v>36</v>
      </c>
      <c r="AB162" s="16" t="s">
        <v>446</v>
      </c>
    </row>
    <row r="163" spans="1:28" x14ac:dyDescent="0.3">
      <c r="A163" s="16" t="s">
        <v>414</v>
      </c>
      <c r="B163" s="16" t="s">
        <v>447</v>
      </c>
      <c r="C163" s="16">
        <v>170</v>
      </c>
      <c r="D16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63" s="16">
        <v>65.400000000000006</v>
      </c>
      <c r="F163" s="16" t="str">
        <f>IF(electric_vehicles_spec_2025_csv[[#This Row],[battery_capacity_kWh]]&lt;=30, "0–30 kWh", IF(electric_vehicles_spec_2025_csv[[#This Row],[battery_capacity_kWh]]&lt;=60, "31–60 kWh", "61+ kWh"))</f>
        <v>61+ kWh</v>
      </c>
      <c r="G163" s="16" t="s">
        <v>24</v>
      </c>
      <c r="H163" s="16"/>
      <c r="I163" s="16">
        <v>255</v>
      </c>
      <c r="J163" s="16">
        <v>144</v>
      </c>
      <c r="K163" s="16" t="str">
        <f t="shared" si="2"/>
        <v>131–160 Wh/km</v>
      </c>
      <c r="L163" s="16">
        <v>390</v>
      </c>
      <c r="M163" s="16" t="str">
        <f>IF(electric_vehicles_spec_2025_csv[[#This Row],[range_km]]&lt;=200, "0–200 km",IF(electric_vehicles_spec_2025_csv[[#This Row],[range_km]]&lt;=400, "201–400 km", "401+ km"))</f>
        <v>201–400 km</v>
      </c>
      <c r="N163" s="16">
        <v>7.8</v>
      </c>
      <c r="O163" s="16" t="str">
        <f>IF(electric_vehicles_spec_2025_csv[[#This Row],[acceleration_0_100_s]]&lt;4,"0–3.9 s",IF(electric_vehicles_spec_2025_csv[[#This Row],[acceleration_0_100_s]]&lt;6,"4.0–5.9 s",IF(electric_vehicles_spec_2025_csv[[#This Row],[acceleration_0_100_s]]&lt;8,"6.0–7.9 s","8.0+ s")))</f>
        <v>6.0–7.9 s</v>
      </c>
      <c r="P163" s="16">
        <v>86</v>
      </c>
      <c r="Q163" s="16" t="str">
        <f>IF(electric_vehicles_spec_2025_csv[[#This Row],[fast_charging_power_kw_dc]]&lt;50,"0–49 kW",IF(electric_vehicles_spec_2025_csv[[#This Row],[fast_charging_power_kw_dc]]&lt;100,"50–99 kW",IF(electric_vehicles_spec_2025_csv[[#This Row],[fast_charging_power_kw_dc]]&lt;150,"100–149 kW","150+ kW")))</f>
        <v>50–99 kW</v>
      </c>
      <c r="R163" s="16" t="s">
        <v>25</v>
      </c>
      <c r="S163" s="16">
        <v>750</v>
      </c>
      <c r="T163" s="16" t="s">
        <v>445</v>
      </c>
      <c r="U163" s="16">
        <v>5</v>
      </c>
      <c r="V163" s="16" t="s">
        <v>27</v>
      </c>
      <c r="W163" s="16" t="s">
        <v>35</v>
      </c>
      <c r="X163" s="16">
        <v>4355</v>
      </c>
      <c r="Y163" s="16">
        <v>1825</v>
      </c>
      <c r="Z163" s="16">
        <v>1575</v>
      </c>
      <c r="AA163" s="16" t="s">
        <v>36</v>
      </c>
      <c r="AB163" s="16" t="s">
        <v>448</v>
      </c>
    </row>
    <row r="164" spans="1:28" x14ac:dyDescent="0.3">
      <c r="A164" s="16" t="s">
        <v>449</v>
      </c>
      <c r="B164" s="16" t="s">
        <v>450</v>
      </c>
      <c r="C164" s="16">
        <v>200</v>
      </c>
      <c r="D16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64" s="16">
        <v>84.7</v>
      </c>
      <c r="F164" s="16" t="str">
        <f>IF(electric_vehicles_spec_2025_csv[[#This Row],[battery_capacity_kWh]]&lt;=30, "0–30 kWh", IF(electric_vehicles_spec_2025_csv[[#This Row],[battery_capacity_kWh]]&lt;=60, "31–60 kWh", "61+ kWh"))</f>
        <v>61+ kWh</v>
      </c>
      <c r="G164" s="16" t="s">
        <v>24</v>
      </c>
      <c r="H164" s="16">
        <v>432</v>
      </c>
      <c r="I164" s="16">
        <v>696</v>
      </c>
      <c r="J164" s="16">
        <v>208</v>
      </c>
      <c r="K164" s="16" t="str">
        <f t="shared" si="2"/>
        <v>161+ Wh/km</v>
      </c>
      <c r="L164" s="16">
        <v>380</v>
      </c>
      <c r="M164" s="16" t="str">
        <f>IF(electric_vehicles_spec_2025_csv[[#This Row],[range_km]]&lt;=200, "0–200 km",IF(electric_vehicles_spec_2025_csv[[#This Row],[range_km]]&lt;=400, "201–400 km", "401+ km"))</f>
        <v>201–400 km</v>
      </c>
      <c r="N164" s="16">
        <v>4.8</v>
      </c>
      <c r="O164" s="16" t="str">
        <f>IF(electric_vehicles_spec_2025_csv[[#This Row],[acceleration_0_100_s]]&lt;4,"0–3.9 s",IF(electric_vehicles_spec_2025_csv[[#This Row],[acceleration_0_100_s]]&lt;6,"4.0–5.9 s",IF(electric_vehicles_spec_2025_csv[[#This Row],[acceleration_0_100_s]]&lt;8,"6.0–7.9 s","8.0+ s")))</f>
        <v>4.0–5.9 s</v>
      </c>
      <c r="P164" s="16">
        <v>85</v>
      </c>
      <c r="Q164" s="16" t="str">
        <f>IF(electric_vehicles_spec_2025_csv[[#This Row],[fast_charging_power_kw_dc]]&lt;50,"0–49 kW",IF(electric_vehicles_spec_2025_csv[[#This Row],[fast_charging_power_kw_dc]]&lt;100,"50–99 kW",IF(electric_vehicles_spec_2025_csv[[#This Row],[fast_charging_power_kw_dc]]&lt;150,"100–149 kW","150+ kW")))</f>
        <v>50–99 kW</v>
      </c>
      <c r="R164" s="16" t="s">
        <v>25</v>
      </c>
      <c r="S164" s="16">
        <v>750</v>
      </c>
      <c r="T164" s="16" t="s">
        <v>451</v>
      </c>
      <c r="U164" s="16">
        <v>5</v>
      </c>
      <c r="V164" s="16" t="s">
        <v>70</v>
      </c>
      <c r="W164" s="16" t="s">
        <v>99</v>
      </c>
      <c r="X164" s="16">
        <v>4682</v>
      </c>
      <c r="Y164" s="16">
        <v>2011</v>
      </c>
      <c r="Z164" s="16">
        <v>1566</v>
      </c>
      <c r="AA164" s="16" t="s">
        <v>36</v>
      </c>
      <c r="AB164" s="16" t="s">
        <v>452</v>
      </c>
    </row>
    <row r="165" spans="1:28" x14ac:dyDescent="0.3">
      <c r="A165" s="16" t="s">
        <v>453</v>
      </c>
      <c r="B165" s="16" t="s">
        <v>454</v>
      </c>
      <c r="C165" s="16">
        <v>150</v>
      </c>
      <c r="D16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65" s="16">
        <v>50.8</v>
      </c>
      <c r="F165" s="16" t="str">
        <f>IF(electric_vehicles_spec_2025_csv[[#This Row],[battery_capacity_kWh]]&lt;=30, "0–30 kWh", IF(electric_vehicles_spec_2025_csv[[#This Row],[battery_capacity_kWh]]&lt;=60, "31–60 kWh", "61+ kWh"))</f>
        <v>31–60 kWh</v>
      </c>
      <c r="G165" s="16" t="s">
        <v>24</v>
      </c>
      <c r="H165" s="16">
        <v>102</v>
      </c>
      <c r="I165" s="16">
        <v>260</v>
      </c>
      <c r="J165" s="16">
        <v>132</v>
      </c>
      <c r="K165" s="16" t="str">
        <f t="shared" si="2"/>
        <v>131–160 Wh/km</v>
      </c>
      <c r="L165" s="16">
        <v>310</v>
      </c>
      <c r="M165" s="16" t="str">
        <f>IF(electric_vehicles_spec_2025_csv[[#This Row],[range_km]]&lt;=200, "0–200 km",IF(electric_vehicles_spec_2025_csv[[#This Row],[range_km]]&lt;=400, "201–400 km", "401+ km"))</f>
        <v>201–400 km</v>
      </c>
      <c r="N165" s="16">
        <v>9</v>
      </c>
      <c r="O165" s="16" t="str">
        <f>IF(electric_vehicles_spec_2025_csv[[#This Row],[acceleration_0_100_s]]&lt;4,"0–3.9 s",IF(electric_vehicles_spec_2025_csv[[#This Row],[acceleration_0_100_s]]&lt;6,"4.0–5.9 s",IF(electric_vehicles_spec_2025_csv[[#This Row],[acceleration_0_100_s]]&lt;8,"6.0–7.9 s","8.0+ s")))</f>
        <v>8.0+ s</v>
      </c>
      <c r="P165" s="16">
        <v>85</v>
      </c>
      <c r="Q165" s="16" t="str">
        <f>IF(electric_vehicles_spec_2025_csv[[#This Row],[fast_charging_power_kw_dc]]&lt;50,"0–49 kW",IF(electric_vehicles_spec_2025_csv[[#This Row],[fast_charging_power_kw_dc]]&lt;100,"50–99 kW",IF(electric_vehicles_spec_2025_csv[[#This Row],[fast_charging_power_kw_dc]]&lt;150,"100–149 kW","150+ kW")))</f>
        <v>50–99 kW</v>
      </c>
      <c r="R165" s="16" t="s">
        <v>25</v>
      </c>
      <c r="S165" s="16">
        <v>0</v>
      </c>
      <c r="T165" s="16" t="s">
        <v>455</v>
      </c>
      <c r="U165" s="16">
        <v>5</v>
      </c>
      <c r="V165" s="16" t="s">
        <v>27</v>
      </c>
      <c r="W165" s="16" t="s">
        <v>35</v>
      </c>
      <c r="X165" s="16">
        <v>4084</v>
      </c>
      <c r="Y165" s="16">
        <v>1776</v>
      </c>
      <c r="Z165" s="16">
        <v>1528</v>
      </c>
      <c r="AA165" s="16" t="s">
        <v>36</v>
      </c>
      <c r="AB165" s="16" t="s">
        <v>456</v>
      </c>
    </row>
    <row r="166" spans="1:28" x14ac:dyDescent="0.3">
      <c r="A166" s="16" t="s">
        <v>453</v>
      </c>
      <c r="B166" s="16" t="s">
        <v>457</v>
      </c>
      <c r="C166" s="16">
        <v>180</v>
      </c>
      <c r="D16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66" s="16">
        <v>74</v>
      </c>
      <c r="F166" s="16" t="str">
        <f>IF(electric_vehicles_spec_2025_csv[[#This Row],[battery_capacity_kWh]]&lt;=30, "0–30 kWh", IF(electric_vehicles_spec_2025_csv[[#This Row],[battery_capacity_kWh]]&lt;=60, "31–60 kWh", "61+ kWh"))</f>
        <v>61+ kWh</v>
      </c>
      <c r="G166" s="16" t="s">
        <v>24</v>
      </c>
      <c r="H166" s="16"/>
      <c r="I166" s="16">
        <v>345</v>
      </c>
      <c r="J166" s="16">
        <v>148</v>
      </c>
      <c r="K166" s="16" t="str">
        <f t="shared" si="2"/>
        <v>131–160 Wh/km</v>
      </c>
      <c r="L166" s="16">
        <v>370</v>
      </c>
      <c r="M166" s="16" t="str">
        <f>IF(electric_vehicles_spec_2025_csv[[#This Row],[range_km]]&lt;=200, "0–200 km",IF(electric_vehicles_spec_2025_csv[[#This Row],[range_km]]&lt;=400, "201–400 km", "401+ km"))</f>
        <v>201–400 km</v>
      </c>
      <c r="N166" s="16">
        <v>8.5</v>
      </c>
      <c r="O166" s="16" t="str">
        <f>IF(electric_vehicles_spec_2025_csv[[#This Row],[acceleration_0_100_s]]&lt;4,"0–3.9 s",IF(electric_vehicles_spec_2025_csv[[#This Row],[acceleration_0_100_s]]&lt;6,"4.0–5.9 s",IF(electric_vehicles_spec_2025_csv[[#This Row],[acceleration_0_100_s]]&lt;8,"6.0–7.9 s","8.0+ s")))</f>
        <v>8.0+ s</v>
      </c>
      <c r="P166" s="16">
        <v>90</v>
      </c>
      <c r="Q166" s="16" t="str">
        <f>IF(electric_vehicles_spec_2025_csv[[#This Row],[fast_charging_power_kw_dc]]&lt;50,"0–49 kW",IF(electric_vehicles_spec_2025_csv[[#This Row],[fast_charging_power_kw_dc]]&lt;100,"50–99 kW",IF(electric_vehicles_spec_2025_csv[[#This Row],[fast_charging_power_kw_dc]]&lt;150,"100–149 kW","150+ kW")))</f>
        <v>50–99 kW</v>
      </c>
      <c r="R166" s="16" t="s">
        <v>25</v>
      </c>
      <c r="S166" s="16">
        <v>1000</v>
      </c>
      <c r="T166" s="16" t="s">
        <v>458</v>
      </c>
      <c r="U166" s="16">
        <v>5</v>
      </c>
      <c r="V166" s="16" t="s">
        <v>27</v>
      </c>
      <c r="W166" s="16" t="s">
        <v>43</v>
      </c>
      <c r="X166" s="16">
        <v>4552</v>
      </c>
      <c r="Y166" s="16">
        <v>1928</v>
      </c>
      <c r="Z166" s="16">
        <v>1675</v>
      </c>
      <c r="AA166" s="16" t="s">
        <v>36</v>
      </c>
      <c r="AB166" s="16" t="s">
        <v>459</v>
      </c>
    </row>
    <row r="167" spans="1:28" x14ac:dyDescent="0.3">
      <c r="A167" s="16" t="s">
        <v>460</v>
      </c>
      <c r="B167" s="16" t="s">
        <v>461</v>
      </c>
      <c r="C167" s="16">
        <v>175</v>
      </c>
      <c r="D16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67" s="16">
        <v>72</v>
      </c>
      <c r="F167" s="16" t="str">
        <f>IF(electric_vehicles_spec_2025_csv[[#This Row],[battery_capacity_kWh]]&lt;=30, "0–30 kWh", IF(electric_vehicles_spec_2025_csv[[#This Row],[battery_capacity_kWh]]&lt;=60, "31–60 kWh", "61+ kWh"))</f>
        <v>61+ kWh</v>
      </c>
      <c r="G167" s="16" t="s">
        <v>24</v>
      </c>
      <c r="H167" s="16"/>
      <c r="I167" s="16">
        <v>339</v>
      </c>
      <c r="J167" s="16">
        <v>156</v>
      </c>
      <c r="K167" s="16" t="str">
        <f t="shared" si="2"/>
        <v>131–160 Wh/km</v>
      </c>
      <c r="L167" s="16">
        <v>370</v>
      </c>
      <c r="M167" s="16" t="str">
        <f>IF(electric_vehicles_spec_2025_csv[[#This Row],[range_km]]&lt;=200, "0–200 km",IF(electric_vehicles_spec_2025_csv[[#This Row],[range_km]]&lt;=400, "201–400 km", "401+ km"))</f>
        <v>201–400 km</v>
      </c>
      <c r="N167" s="16">
        <v>8.1</v>
      </c>
      <c r="O167" s="16" t="str">
        <f>IF(electric_vehicles_spec_2025_csv[[#This Row],[acceleration_0_100_s]]&lt;4,"0–3.9 s",IF(electric_vehicles_spec_2025_csv[[#This Row],[acceleration_0_100_s]]&lt;6,"4.0–5.9 s",IF(electric_vehicles_spec_2025_csv[[#This Row],[acceleration_0_100_s]]&lt;8,"6.0–7.9 s","8.0+ s")))</f>
        <v>8.0+ s</v>
      </c>
      <c r="P167" s="16">
        <v>85</v>
      </c>
      <c r="Q167" s="16" t="str">
        <f>IF(electric_vehicles_spec_2025_csv[[#This Row],[fast_charging_power_kw_dc]]&lt;50,"0–49 kW",IF(electric_vehicles_spec_2025_csv[[#This Row],[fast_charging_power_kw_dc]]&lt;100,"50–99 kW",IF(electric_vehicles_spec_2025_csv[[#This Row],[fast_charging_power_kw_dc]]&lt;150,"100–149 kW","150+ kW")))</f>
        <v>50–99 kW</v>
      </c>
      <c r="R167" s="16" t="s">
        <v>25</v>
      </c>
      <c r="S167" s="16">
        <v>1500</v>
      </c>
      <c r="T167" s="16" t="s">
        <v>462</v>
      </c>
      <c r="U167" s="16">
        <v>5</v>
      </c>
      <c r="V167" s="16" t="s">
        <v>27</v>
      </c>
      <c r="W167" s="16" t="s">
        <v>43</v>
      </c>
      <c r="X167" s="16">
        <v>4715</v>
      </c>
      <c r="Y167" s="16">
        <v>1890</v>
      </c>
      <c r="Z167" s="16">
        <v>1725</v>
      </c>
      <c r="AA167" s="16" t="s">
        <v>36</v>
      </c>
      <c r="AB167" s="16" t="s">
        <v>463</v>
      </c>
    </row>
    <row r="168" spans="1:28" x14ac:dyDescent="0.3">
      <c r="A168" s="16" t="s">
        <v>464</v>
      </c>
      <c r="B168" s="16" t="s">
        <v>465</v>
      </c>
      <c r="C168" s="16">
        <v>170</v>
      </c>
      <c r="D16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68" s="16">
        <v>78</v>
      </c>
      <c r="F168" s="16" t="str">
        <f>IF(electric_vehicles_spec_2025_csv[[#This Row],[battery_capacity_kWh]]&lt;=30, "0–30 kWh", IF(electric_vehicles_spec_2025_csv[[#This Row],[battery_capacity_kWh]]&lt;=60, "31–60 kWh", "61+ kWh"))</f>
        <v>61+ kWh</v>
      </c>
      <c r="G168" s="16" t="s">
        <v>24</v>
      </c>
      <c r="H168" s="16"/>
      <c r="I168" s="16">
        <v>283</v>
      </c>
      <c r="J168" s="16">
        <v>139</v>
      </c>
      <c r="K168" s="16" t="str">
        <f t="shared" si="2"/>
        <v>131–160 Wh/km</v>
      </c>
      <c r="L168" s="16">
        <v>455</v>
      </c>
      <c r="M168" s="16" t="str">
        <f>IF(electric_vehicles_spec_2025_csv[[#This Row],[range_km]]&lt;=200, "0–200 km",IF(electric_vehicles_spec_2025_csv[[#This Row],[range_km]]&lt;=400, "201–400 km", "401+ km"))</f>
        <v>401+ km</v>
      </c>
      <c r="N168" s="16">
        <v>7.7</v>
      </c>
      <c r="O168" s="16" t="str">
        <f>IF(electric_vehicles_spec_2025_csv[[#This Row],[acceleration_0_100_s]]&lt;4,"0–3.9 s",IF(electric_vehicles_spec_2025_csv[[#This Row],[acceleration_0_100_s]]&lt;6,"4.0–5.9 s",IF(electric_vehicles_spec_2025_csv[[#This Row],[acceleration_0_100_s]]&lt;8,"6.0–7.9 s","8.0+ s")))</f>
        <v>6.0–7.9 s</v>
      </c>
      <c r="P168" s="16">
        <v>105</v>
      </c>
      <c r="Q168" s="16" t="str">
        <f>IF(electric_vehicles_spec_2025_csv[[#This Row],[fast_charging_power_kw_dc]]&lt;50,"0–49 kW",IF(electric_vehicles_spec_2025_csv[[#This Row],[fast_charging_power_kw_dc]]&lt;100,"50–99 kW",IF(electric_vehicles_spec_2025_csv[[#This Row],[fast_charging_power_kw_dc]]&lt;150,"100–149 kW","150+ kW")))</f>
        <v>100–149 kW</v>
      </c>
      <c r="R168" s="16" t="s">
        <v>25</v>
      </c>
      <c r="S168" s="16">
        <v>1000</v>
      </c>
      <c r="T168" s="16" t="s">
        <v>254</v>
      </c>
      <c r="U168" s="16">
        <v>5</v>
      </c>
      <c r="V168" s="16" t="s">
        <v>27</v>
      </c>
      <c r="W168" s="16" t="s">
        <v>35</v>
      </c>
      <c r="X168" s="16">
        <v>4300</v>
      </c>
      <c r="Y168" s="16">
        <v>1850</v>
      </c>
      <c r="Z168" s="16">
        <v>1560</v>
      </c>
      <c r="AA168" s="16" t="s">
        <v>36</v>
      </c>
      <c r="AB168" s="16" t="s">
        <v>466</v>
      </c>
    </row>
    <row r="169" spans="1:28" x14ac:dyDescent="0.3">
      <c r="A169" s="16" t="s">
        <v>464</v>
      </c>
      <c r="B169" s="16" t="s">
        <v>467</v>
      </c>
      <c r="C169" s="16">
        <v>170</v>
      </c>
      <c r="D16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69" s="16">
        <v>55</v>
      </c>
      <c r="F169" s="16" t="str">
        <f>IF(electric_vehicles_spec_2025_csv[[#This Row],[battery_capacity_kWh]]&lt;=30, "0–30 kWh", IF(electric_vehicles_spec_2025_csv[[#This Row],[battery_capacity_kWh]]&lt;=60, "31–60 kWh", "61+ kWh"))</f>
        <v>31–60 kWh</v>
      </c>
      <c r="G169" s="16" t="s">
        <v>24</v>
      </c>
      <c r="H169" s="16"/>
      <c r="I169" s="16">
        <v>283</v>
      </c>
      <c r="J169" s="16">
        <v>133</v>
      </c>
      <c r="K169" s="16" t="str">
        <f t="shared" si="2"/>
        <v>131–160 Wh/km</v>
      </c>
      <c r="L169" s="16">
        <v>325</v>
      </c>
      <c r="M169" s="16" t="str">
        <f>IF(electric_vehicles_spec_2025_csv[[#This Row],[range_km]]&lt;=200, "0–200 km",IF(electric_vehicles_spec_2025_csv[[#This Row],[range_km]]&lt;=400, "201–400 km", "401+ km"))</f>
        <v>201–400 km</v>
      </c>
      <c r="N169" s="16">
        <v>7.5</v>
      </c>
      <c r="O169" s="16" t="str">
        <f>IF(electric_vehicles_spec_2025_csv[[#This Row],[acceleration_0_100_s]]&lt;4,"0–3.9 s",IF(electric_vehicles_spec_2025_csv[[#This Row],[acceleration_0_100_s]]&lt;6,"4.0–5.9 s",IF(electric_vehicles_spec_2025_csv[[#This Row],[acceleration_0_100_s]]&lt;8,"6.0–7.9 s","8.0+ s")))</f>
        <v>6.0–7.9 s</v>
      </c>
      <c r="P169" s="16">
        <v>80</v>
      </c>
      <c r="Q169" s="16" t="str">
        <f>IF(electric_vehicles_spec_2025_csv[[#This Row],[fast_charging_power_kw_dc]]&lt;50,"0–49 kW",IF(electric_vehicles_spec_2025_csv[[#This Row],[fast_charging_power_kw_dc]]&lt;100,"50–99 kW",IF(electric_vehicles_spec_2025_csv[[#This Row],[fast_charging_power_kw_dc]]&lt;150,"100–149 kW","150+ kW")))</f>
        <v>50–99 kW</v>
      </c>
      <c r="R169" s="16" t="s">
        <v>25</v>
      </c>
      <c r="S169" s="16">
        <v>300</v>
      </c>
      <c r="T169" s="16" t="s">
        <v>254</v>
      </c>
      <c r="U169" s="16">
        <v>5</v>
      </c>
      <c r="V169" s="16" t="s">
        <v>27</v>
      </c>
      <c r="W169" s="16" t="s">
        <v>35</v>
      </c>
      <c r="X169" s="16">
        <v>4300</v>
      </c>
      <c r="Y169" s="16">
        <v>1850</v>
      </c>
      <c r="Z169" s="16">
        <v>1560</v>
      </c>
      <c r="AA169" s="16" t="s">
        <v>36</v>
      </c>
      <c r="AB169" s="16" t="s">
        <v>468</v>
      </c>
    </row>
    <row r="170" spans="1:28" x14ac:dyDescent="0.3">
      <c r="A170" s="16" t="s">
        <v>464</v>
      </c>
      <c r="B170" s="16" t="s">
        <v>469</v>
      </c>
      <c r="C170" s="16">
        <v>170</v>
      </c>
      <c r="D17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70" s="16">
        <v>78</v>
      </c>
      <c r="F170" s="16" t="str">
        <f>IF(electric_vehicles_spec_2025_csv[[#This Row],[battery_capacity_kWh]]&lt;=30, "0–30 kWh", IF(electric_vehicles_spec_2025_csv[[#This Row],[battery_capacity_kWh]]&lt;=60, "31–60 kWh", "61+ kWh"))</f>
        <v>61+ kWh</v>
      </c>
      <c r="G170" s="16" t="s">
        <v>24</v>
      </c>
      <c r="H170" s="16"/>
      <c r="I170" s="16">
        <v>283</v>
      </c>
      <c r="J170" s="16">
        <v>132</v>
      </c>
      <c r="K170" s="16" t="str">
        <f t="shared" si="2"/>
        <v>131–160 Wh/km</v>
      </c>
      <c r="L170" s="16">
        <v>475</v>
      </c>
      <c r="M170" s="16" t="str">
        <f>IF(electric_vehicles_spec_2025_csv[[#This Row],[range_km]]&lt;=200, "0–200 km",IF(electric_vehicles_spec_2025_csv[[#This Row],[range_km]]&lt;=400, "201–400 km", "401+ km"))</f>
        <v>401+ km</v>
      </c>
      <c r="N170" s="16">
        <v>7.7</v>
      </c>
      <c r="O170" s="16" t="str">
        <f>IF(electric_vehicles_spec_2025_csv[[#This Row],[acceleration_0_100_s]]&lt;4,"0–3.9 s",IF(electric_vehicles_spec_2025_csv[[#This Row],[acceleration_0_100_s]]&lt;6,"4.0–5.9 s",IF(electric_vehicles_spec_2025_csv[[#This Row],[acceleration_0_100_s]]&lt;8,"6.0–7.9 s","8.0+ s")))</f>
        <v>6.0–7.9 s</v>
      </c>
      <c r="P170" s="16">
        <v>105</v>
      </c>
      <c r="Q170" s="16" t="str">
        <f>IF(electric_vehicles_spec_2025_csv[[#This Row],[fast_charging_power_kw_dc]]&lt;50,"0–49 kW",IF(electric_vehicles_spec_2025_csv[[#This Row],[fast_charging_power_kw_dc]]&lt;100,"50–99 kW",IF(electric_vehicles_spec_2025_csv[[#This Row],[fast_charging_power_kw_dc]]&lt;150,"100–149 kW","150+ kW")))</f>
        <v>100–149 kW</v>
      </c>
      <c r="R170" s="16" t="s">
        <v>25</v>
      </c>
      <c r="S170" s="16"/>
      <c r="T170" s="16" t="s">
        <v>470</v>
      </c>
      <c r="U170" s="16">
        <v>5</v>
      </c>
      <c r="V170" s="16" t="s">
        <v>27</v>
      </c>
      <c r="W170" s="16" t="s">
        <v>190</v>
      </c>
      <c r="X170" s="16">
        <v>4430</v>
      </c>
      <c r="Y170" s="16">
        <v>1860</v>
      </c>
      <c r="Z170" s="16">
        <v>1485</v>
      </c>
      <c r="AA170" s="16" t="s">
        <v>29</v>
      </c>
      <c r="AB170" s="16" t="s">
        <v>471</v>
      </c>
    </row>
    <row r="171" spans="1:28" x14ac:dyDescent="0.3">
      <c r="A171" s="16" t="s">
        <v>464</v>
      </c>
      <c r="B171" s="16" t="s">
        <v>472</v>
      </c>
      <c r="C171" s="16">
        <v>170</v>
      </c>
      <c r="D17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71" s="16">
        <v>55</v>
      </c>
      <c r="F171" s="16" t="str">
        <f>IF(electric_vehicles_spec_2025_csv[[#This Row],[battery_capacity_kWh]]&lt;=30, "0–30 kWh", IF(electric_vehicles_spec_2025_csv[[#This Row],[battery_capacity_kWh]]&lt;=60, "31–60 kWh", "61+ kWh"))</f>
        <v>31–60 kWh</v>
      </c>
      <c r="G171" s="16" t="s">
        <v>24</v>
      </c>
      <c r="H171" s="16"/>
      <c r="I171" s="16">
        <v>283</v>
      </c>
      <c r="J171" s="16">
        <v>134</v>
      </c>
      <c r="K171" s="16" t="str">
        <f t="shared" si="2"/>
        <v>131–160 Wh/km</v>
      </c>
      <c r="L171" s="16">
        <v>340</v>
      </c>
      <c r="M171" s="16" t="str">
        <f>IF(electric_vehicles_spec_2025_csv[[#This Row],[range_km]]&lt;=200, "0–200 km",IF(electric_vehicles_spec_2025_csv[[#This Row],[range_km]]&lt;=400, "201–400 km", "401+ km"))</f>
        <v>201–400 km</v>
      </c>
      <c r="N171" s="16">
        <v>7.4</v>
      </c>
      <c r="O171" s="16" t="str">
        <f>IF(electric_vehicles_spec_2025_csv[[#This Row],[acceleration_0_100_s]]&lt;4,"0–3.9 s",IF(electric_vehicles_spec_2025_csv[[#This Row],[acceleration_0_100_s]]&lt;6,"4.0–5.9 s",IF(electric_vehicles_spec_2025_csv[[#This Row],[acceleration_0_100_s]]&lt;8,"6.0–7.9 s","8.0+ s")))</f>
        <v>6.0–7.9 s</v>
      </c>
      <c r="P171" s="16">
        <v>80</v>
      </c>
      <c r="Q171" s="16" t="str">
        <f>IF(electric_vehicles_spec_2025_csv[[#This Row],[fast_charging_power_kw_dc]]&lt;50,"0–49 kW",IF(electric_vehicles_spec_2025_csv[[#This Row],[fast_charging_power_kw_dc]]&lt;100,"50–99 kW",IF(electric_vehicles_spec_2025_csv[[#This Row],[fast_charging_power_kw_dc]]&lt;150,"100–149 kW","150+ kW")))</f>
        <v>50–99 kW</v>
      </c>
      <c r="R171" s="16" t="s">
        <v>25</v>
      </c>
      <c r="S171" s="16"/>
      <c r="T171" s="16" t="s">
        <v>470</v>
      </c>
      <c r="U171" s="16">
        <v>5</v>
      </c>
      <c r="V171" s="16" t="s">
        <v>27</v>
      </c>
      <c r="W171" s="16" t="s">
        <v>190</v>
      </c>
      <c r="X171" s="16">
        <v>4430</v>
      </c>
      <c r="Y171" s="16">
        <v>1860</v>
      </c>
      <c r="Z171" s="16">
        <v>1485</v>
      </c>
      <c r="AA171" s="16" t="s">
        <v>29</v>
      </c>
      <c r="AB171" s="16" t="s">
        <v>473</v>
      </c>
    </row>
    <row r="172" spans="1:28" x14ac:dyDescent="0.3">
      <c r="A172" s="16" t="s">
        <v>464</v>
      </c>
      <c r="B172" s="16" t="s">
        <v>474</v>
      </c>
      <c r="C172" s="16">
        <v>170</v>
      </c>
      <c r="D17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72" s="16">
        <v>78</v>
      </c>
      <c r="F172" s="16" t="str">
        <f>IF(electric_vehicles_spec_2025_csv[[#This Row],[battery_capacity_kWh]]&lt;=30, "0–30 kWh", IF(electric_vehicles_spec_2025_csv[[#This Row],[battery_capacity_kWh]]&lt;=60, "31–60 kWh", "61+ kWh"))</f>
        <v>61+ kWh</v>
      </c>
      <c r="G172" s="16" t="s">
        <v>24</v>
      </c>
      <c r="H172" s="16"/>
      <c r="I172" s="16">
        <v>283</v>
      </c>
      <c r="J172" s="16">
        <v>124</v>
      </c>
      <c r="K172" s="16" t="str">
        <f t="shared" si="2"/>
        <v>0–130 Wh/km</v>
      </c>
      <c r="L172" s="16">
        <v>495</v>
      </c>
      <c r="M172" s="16" t="str">
        <f>IF(electric_vehicles_spec_2025_csv[[#This Row],[range_km]]&lt;=200, "0–200 km",IF(electric_vehicles_spec_2025_csv[[#This Row],[range_km]]&lt;=400, "201–400 km", "401+ km"))</f>
        <v>401+ km</v>
      </c>
      <c r="N172" s="16">
        <v>7.7</v>
      </c>
      <c r="O172" s="16" t="str">
        <f>IF(electric_vehicles_spec_2025_csv[[#This Row],[acceleration_0_100_s]]&lt;4,"0–3.9 s",IF(electric_vehicles_spec_2025_csv[[#This Row],[acceleration_0_100_s]]&lt;6,"4.0–5.9 s",IF(electric_vehicles_spec_2025_csv[[#This Row],[acceleration_0_100_s]]&lt;8,"6.0–7.9 s","8.0+ s")))</f>
        <v>6.0–7.9 s</v>
      </c>
      <c r="P172" s="16">
        <v>105</v>
      </c>
      <c r="Q172" s="16" t="str">
        <f>IF(electric_vehicles_spec_2025_csv[[#This Row],[fast_charging_power_kw_dc]]&lt;50,"0–49 kW",IF(electric_vehicles_spec_2025_csv[[#This Row],[fast_charging_power_kw_dc]]&lt;100,"50–99 kW",IF(electric_vehicles_spec_2025_csv[[#This Row],[fast_charging_power_kw_dc]]&lt;150,"100–149 kW","150+ kW")))</f>
        <v>100–149 kW</v>
      </c>
      <c r="R172" s="16" t="s">
        <v>25</v>
      </c>
      <c r="S172" s="16"/>
      <c r="T172" s="16" t="s">
        <v>146</v>
      </c>
      <c r="U172" s="16">
        <v>5</v>
      </c>
      <c r="V172" s="16" t="s">
        <v>27</v>
      </c>
      <c r="W172" s="16" t="s">
        <v>190</v>
      </c>
      <c r="X172" s="16">
        <v>4730</v>
      </c>
      <c r="Y172" s="16">
        <v>1860</v>
      </c>
      <c r="Z172" s="16">
        <v>1480</v>
      </c>
      <c r="AA172" s="16" t="s">
        <v>125</v>
      </c>
      <c r="AB172" s="16" t="s">
        <v>475</v>
      </c>
    </row>
    <row r="173" spans="1:28" x14ac:dyDescent="0.3">
      <c r="A173" s="16" t="s">
        <v>464</v>
      </c>
      <c r="B173" s="16" t="s">
        <v>476</v>
      </c>
      <c r="C173" s="16">
        <v>170</v>
      </c>
      <c r="D17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73" s="16">
        <v>55</v>
      </c>
      <c r="F173" s="16" t="str">
        <f>IF(electric_vehicles_spec_2025_csv[[#This Row],[battery_capacity_kWh]]&lt;=30, "0–30 kWh", IF(electric_vehicles_spec_2025_csv[[#This Row],[battery_capacity_kWh]]&lt;=60, "31–60 kWh", "61+ kWh"))</f>
        <v>31–60 kWh</v>
      </c>
      <c r="G173" s="16" t="s">
        <v>24</v>
      </c>
      <c r="H173" s="16"/>
      <c r="I173" s="16">
        <v>283</v>
      </c>
      <c r="J173" s="16">
        <v>128</v>
      </c>
      <c r="K173" s="16" t="str">
        <f t="shared" si="2"/>
        <v>0–130 Wh/km</v>
      </c>
      <c r="L173" s="16">
        <v>355</v>
      </c>
      <c r="M173" s="16" t="str">
        <f>IF(electric_vehicles_spec_2025_csv[[#This Row],[range_km]]&lt;=200, "0–200 km",IF(electric_vehicles_spec_2025_csv[[#This Row],[range_km]]&lt;=400, "201–400 km", "401+ km"))</f>
        <v>201–400 km</v>
      </c>
      <c r="N173" s="16">
        <v>7.4</v>
      </c>
      <c r="O173" s="16" t="str">
        <f>IF(electric_vehicles_spec_2025_csv[[#This Row],[acceleration_0_100_s]]&lt;4,"0–3.9 s",IF(electric_vehicles_spec_2025_csv[[#This Row],[acceleration_0_100_s]]&lt;6,"4.0–5.9 s",IF(electric_vehicles_spec_2025_csv[[#This Row],[acceleration_0_100_s]]&lt;8,"6.0–7.9 s","8.0+ s")))</f>
        <v>6.0–7.9 s</v>
      </c>
      <c r="P173" s="16">
        <v>80</v>
      </c>
      <c r="Q173" s="16" t="str">
        <f>IF(electric_vehicles_spec_2025_csv[[#This Row],[fast_charging_power_kw_dc]]&lt;50,"0–49 kW",IF(electric_vehicles_spec_2025_csv[[#This Row],[fast_charging_power_kw_dc]]&lt;100,"50–99 kW",IF(electric_vehicles_spec_2025_csv[[#This Row],[fast_charging_power_kw_dc]]&lt;150,"100–149 kW","150+ kW")))</f>
        <v>50–99 kW</v>
      </c>
      <c r="R173" s="16" t="s">
        <v>25</v>
      </c>
      <c r="S173" s="16"/>
      <c r="T173" s="16" t="s">
        <v>146</v>
      </c>
      <c r="U173" s="16">
        <v>5</v>
      </c>
      <c r="V173" s="16" t="s">
        <v>27</v>
      </c>
      <c r="W173" s="16" t="s">
        <v>190</v>
      </c>
      <c r="X173" s="16">
        <v>4730</v>
      </c>
      <c r="Y173" s="16">
        <v>1860</v>
      </c>
      <c r="Z173" s="16">
        <v>1480</v>
      </c>
      <c r="AA173" s="16" t="s">
        <v>125</v>
      </c>
      <c r="AB173" s="16" t="s">
        <v>477</v>
      </c>
    </row>
    <row r="174" spans="1:28" x14ac:dyDescent="0.3">
      <c r="A174" s="16" t="s">
        <v>464</v>
      </c>
      <c r="B174" s="16" t="s">
        <v>478</v>
      </c>
      <c r="C174" s="16">
        <v>260</v>
      </c>
      <c r="D17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74" s="16">
        <v>80</v>
      </c>
      <c r="F174" s="16" t="str">
        <f>IF(electric_vehicles_spec_2025_csv[[#This Row],[battery_capacity_kWh]]&lt;=30, "0–30 kWh", IF(electric_vehicles_spec_2025_csv[[#This Row],[battery_capacity_kWh]]&lt;=60, "31–60 kWh", "61+ kWh"))</f>
        <v>61+ kWh</v>
      </c>
      <c r="G174" s="16" t="s">
        <v>24</v>
      </c>
      <c r="H174" s="16">
        <v>384</v>
      </c>
      <c r="I174" s="16">
        <v>770</v>
      </c>
      <c r="J174" s="16">
        <v>178</v>
      </c>
      <c r="K174" s="16" t="str">
        <f t="shared" si="2"/>
        <v>161+ Wh/km</v>
      </c>
      <c r="L174" s="16">
        <v>385</v>
      </c>
      <c r="M174" s="16" t="str">
        <f>IF(electric_vehicles_spec_2025_csv[[#This Row],[range_km]]&lt;=200, "0–200 km",IF(electric_vehicles_spec_2025_csv[[#This Row],[range_km]]&lt;=400, "201–400 km", "401+ km"))</f>
        <v>201–400 km</v>
      </c>
      <c r="N174" s="16">
        <v>3.5</v>
      </c>
      <c r="O174" s="16" t="str">
        <f>IF(electric_vehicles_spec_2025_csv[[#This Row],[acceleration_0_100_s]]&lt;4,"0–3.9 s",IF(electric_vehicles_spec_2025_csv[[#This Row],[acceleration_0_100_s]]&lt;6,"4.0–5.9 s",IF(electric_vehicles_spec_2025_csv[[#This Row],[acceleration_0_100_s]]&lt;8,"6.0–7.9 s","8.0+ s")))</f>
        <v>0–3.9 s</v>
      </c>
      <c r="P174" s="16">
        <v>205</v>
      </c>
      <c r="Q174" s="16" t="str">
        <f>IF(electric_vehicles_spec_2025_csv[[#This Row],[fast_charging_power_kw_dc]]&lt;50,"0–49 kW",IF(electric_vehicles_spec_2025_csv[[#This Row],[fast_charging_power_kw_dc]]&lt;100,"50–99 kW",IF(electric_vehicles_spec_2025_csv[[#This Row],[fast_charging_power_kw_dc]]&lt;150,"100–149 kW","150+ kW")))</f>
        <v>150+ kW</v>
      </c>
      <c r="R174" s="16" t="s">
        <v>25</v>
      </c>
      <c r="S174" s="16">
        <v>1800</v>
      </c>
      <c r="T174" s="16" t="s">
        <v>428</v>
      </c>
      <c r="U174" s="16">
        <v>5</v>
      </c>
      <c r="V174" s="16" t="s">
        <v>70</v>
      </c>
      <c r="W174" s="16" t="s">
        <v>43</v>
      </c>
      <c r="X174" s="16">
        <v>4695</v>
      </c>
      <c r="Y174" s="16">
        <v>1890</v>
      </c>
      <c r="Z174" s="16">
        <v>1545</v>
      </c>
      <c r="AA174" s="16" t="s">
        <v>36</v>
      </c>
      <c r="AB174" s="16" t="s">
        <v>479</v>
      </c>
    </row>
    <row r="175" spans="1:28" x14ac:dyDescent="0.3">
      <c r="A175" s="16" t="s">
        <v>464</v>
      </c>
      <c r="B175" s="16" t="s">
        <v>480</v>
      </c>
      <c r="C175" s="16">
        <v>185</v>
      </c>
      <c r="D17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75" s="16">
        <v>80</v>
      </c>
      <c r="F175" s="16" t="str">
        <f>IF(electric_vehicles_spec_2025_csv[[#This Row],[battery_capacity_kWh]]&lt;=30, "0–30 kWh", IF(electric_vehicles_spec_2025_csv[[#This Row],[battery_capacity_kWh]]&lt;=60, "31–60 kWh", "61+ kWh"))</f>
        <v>61+ kWh</v>
      </c>
      <c r="G175" s="16" t="s">
        <v>24</v>
      </c>
      <c r="H175" s="16">
        <v>384</v>
      </c>
      <c r="I175" s="16">
        <v>350</v>
      </c>
      <c r="J175" s="16">
        <v>143</v>
      </c>
      <c r="K175" s="16" t="str">
        <f t="shared" si="2"/>
        <v>131–160 Wh/km</v>
      </c>
      <c r="L175" s="16">
        <v>455</v>
      </c>
      <c r="M175" s="16" t="str">
        <f>IF(electric_vehicles_spec_2025_csv[[#This Row],[range_km]]&lt;=200, "0–200 km",IF(electric_vehicles_spec_2025_csv[[#This Row],[range_km]]&lt;=400, "201–400 km", "401+ km"))</f>
        <v>401+ km</v>
      </c>
      <c r="N175" s="16">
        <v>7.3</v>
      </c>
      <c r="O175" s="16" t="str">
        <f>IF(electric_vehicles_spec_2025_csv[[#This Row],[acceleration_0_100_s]]&lt;4,"0–3.9 s",IF(electric_vehicles_spec_2025_csv[[#This Row],[acceleration_0_100_s]]&lt;6,"4.0–5.9 s",IF(electric_vehicles_spec_2025_csv[[#This Row],[acceleration_0_100_s]]&lt;8,"6.0–7.9 s","8.0+ s")))</f>
        <v>6.0–7.9 s</v>
      </c>
      <c r="P175" s="16">
        <v>205</v>
      </c>
      <c r="Q175" s="16" t="str">
        <f>IF(electric_vehicles_spec_2025_csv[[#This Row],[fast_charging_power_kw_dc]]&lt;50,"0–49 kW",IF(electric_vehicles_spec_2025_csv[[#This Row],[fast_charging_power_kw_dc]]&lt;100,"50–99 kW",IF(electric_vehicles_spec_2025_csv[[#This Row],[fast_charging_power_kw_dc]]&lt;150,"100–149 kW","150+ kW")))</f>
        <v>150+ kW</v>
      </c>
      <c r="R175" s="16" t="s">
        <v>25</v>
      </c>
      <c r="S175" s="16">
        <v>1800</v>
      </c>
      <c r="T175" s="16" t="s">
        <v>146</v>
      </c>
      <c r="U175" s="16">
        <v>5</v>
      </c>
      <c r="V175" s="16" t="s">
        <v>63</v>
      </c>
      <c r="W175" s="16" t="s">
        <v>43</v>
      </c>
      <c r="X175" s="16">
        <v>4695</v>
      </c>
      <c r="Y175" s="16">
        <v>1880</v>
      </c>
      <c r="Z175" s="16">
        <v>1575</v>
      </c>
      <c r="AA175" s="16" t="s">
        <v>36</v>
      </c>
      <c r="AB175" s="16" t="s">
        <v>481</v>
      </c>
    </row>
    <row r="176" spans="1:28" x14ac:dyDescent="0.3">
      <c r="A176" s="16" t="s">
        <v>464</v>
      </c>
      <c r="B176" s="16" t="s">
        <v>482</v>
      </c>
      <c r="C176" s="16">
        <v>185</v>
      </c>
      <c r="D17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76" s="16">
        <v>80</v>
      </c>
      <c r="F176" s="16" t="str">
        <f>IF(electric_vehicles_spec_2025_csv[[#This Row],[battery_capacity_kWh]]&lt;=30, "0–30 kWh", IF(electric_vehicles_spec_2025_csv[[#This Row],[battery_capacity_kWh]]&lt;=60, "31–60 kWh", "61+ kWh"))</f>
        <v>61+ kWh</v>
      </c>
      <c r="G176" s="16" t="s">
        <v>24</v>
      </c>
      <c r="H176" s="16">
        <v>384</v>
      </c>
      <c r="I176" s="16">
        <v>605</v>
      </c>
      <c r="J176" s="16">
        <v>154</v>
      </c>
      <c r="K176" s="16" t="str">
        <f t="shared" si="2"/>
        <v>131–160 Wh/km</v>
      </c>
      <c r="L176" s="16">
        <v>440</v>
      </c>
      <c r="M176" s="16" t="str">
        <f>IF(electric_vehicles_spec_2025_csv[[#This Row],[range_km]]&lt;=200, "0–200 km",IF(electric_vehicles_spec_2025_csv[[#This Row],[range_km]]&lt;=400, "201–400 km", "401+ km"))</f>
        <v>401+ km</v>
      </c>
      <c r="N176" s="16">
        <v>5.2</v>
      </c>
      <c r="O176" s="16" t="str">
        <f>IF(electric_vehicles_spec_2025_csv[[#This Row],[acceleration_0_100_s]]&lt;4,"0–3.9 s",IF(electric_vehicles_spec_2025_csv[[#This Row],[acceleration_0_100_s]]&lt;6,"4.0–5.9 s",IF(electric_vehicles_spec_2025_csv[[#This Row],[acceleration_0_100_s]]&lt;8,"6.0–7.9 s","8.0+ s")))</f>
        <v>4.0–5.9 s</v>
      </c>
      <c r="P176" s="16">
        <v>205</v>
      </c>
      <c r="Q176" s="16" t="str">
        <f>IF(electric_vehicles_spec_2025_csv[[#This Row],[fast_charging_power_kw_dc]]&lt;50,"0–49 kW",IF(electric_vehicles_spec_2025_csv[[#This Row],[fast_charging_power_kw_dc]]&lt;100,"50–99 kW",IF(electric_vehicles_spec_2025_csv[[#This Row],[fast_charging_power_kw_dc]]&lt;150,"100–149 kW","150+ kW")))</f>
        <v>150+ kW</v>
      </c>
      <c r="R176" s="16" t="s">
        <v>25</v>
      </c>
      <c r="S176" s="16">
        <v>1800</v>
      </c>
      <c r="T176" s="16" t="s">
        <v>146</v>
      </c>
      <c r="U176" s="16">
        <v>5</v>
      </c>
      <c r="V176" s="16" t="s">
        <v>70</v>
      </c>
      <c r="W176" s="16" t="s">
        <v>43</v>
      </c>
      <c r="X176" s="16">
        <v>4695</v>
      </c>
      <c r="Y176" s="16">
        <v>1880</v>
      </c>
      <c r="Z176" s="16">
        <v>1575</v>
      </c>
      <c r="AA176" s="16" t="s">
        <v>36</v>
      </c>
      <c r="AB176" s="16" t="s">
        <v>483</v>
      </c>
    </row>
    <row r="177" spans="1:28" x14ac:dyDescent="0.3">
      <c r="A177" s="16" t="s">
        <v>464</v>
      </c>
      <c r="B177" s="16" t="s">
        <v>484</v>
      </c>
      <c r="C177" s="16">
        <v>185</v>
      </c>
      <c r="D17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77" s="16">
        <v>60</v>
      </c>
      <c r="F177" s="16" t="str">
        <f>IF(electric_vehicles_spec_2025_csv[[#This Row],[battery_capacity_kWh]]&lt;=30, "0–30 kWh", IF(electric_vehicles_spec_2025_csv[[#This Row],[battery_capacity_kWh]]&lt;=60, "31–60 kWh", "61+ kWh"))</f>
        <v>31–60 kWh</v>
      </c>
      <c r="G177" s="16" t="s">
        <v>24</v>
      </c>
      <c r="H177" s="16">
        <v>288</v>
      </c>
      <c r="I177" s="16">
        <v>350</v>
      </c>
      <c r="J177" s="16">
        <v>140</v>
      </c>
      <c r="K177" s="16" t="str">
        <f t="shared" si="2"/>
        <v>131–160 Wh/km</v>
      </c>
      <c r="L177" s="16">
        <v>345</v>
      </c>
      <c r="M177" s="16" t="str">
        <f>IF(electric_vehicles_spec_2025_csv[[#This Row],[range_km]]&lt;=200, "0–200 km",IF(electric_vehicles_spec_2025_csv[[#This Row],[range_km]]&lt;=400, "201–400 km", "401+ km"))</f>
        <v>201–400 km</v>
      </c>
      <c r="N177" s="16">
        <v>8.6999999999999993</v>
      </c>
      <c r="O177" s="16" t="str">
        <f>IF(electric_vehicles_spec_2025_csv[[#This Row],[acceleration_0_100_s]]&lt;4,"0–3.9 s",IF(electric_vehicles_spec_2025_csv[[#This Row],[acceleration_0_100_s]]&lt;6,"4.0–5.9 s",IF(electric_vehicles_spec_2025_csv[[#This Row],[acceleration_0_100_s]]&lt;8,"6.0–7.9 s","8.0+ s")))</f>
        <v>8.0+ s</v>
      </c>
      <c r="P177" s="16">
        <v>150</v>
      </c>
      <c r="Q177" s="16" t="str">
        <f>IF(electric_vehicles_spec_2025_csv[[#This Row],[fast_charging_power_kw_dc]]&lt;50,"0–49 kW",IF(electric_vehicles_spec_2025_csv[[#This Row],[fast_charging_power_kw_dc]]&lt;100,"50–99 kW",IF(electric_vehicles_spec_2025_csv[[#This Row],[fast_charging_power_kw_dc]]&lt;150,"100–149 kW","150+ kW")))</f>
        <v>150+ kW</v>
      </c>
      <c r="R177" s="16" t="s">
        <v>25</v>
      </c>
      <c r="S177" s="16">
        <v>750</v>
      </c>
      <c r="T177" s="16" t="s">
        <v>146</v>
      </c>
      <c r="U177" s="16">
        <v>5</v>
      </c>
      <c r="V177" s="16" t="s">
        <v>63</v>
      </c>
      <c r="W177" s="16" t="s">
        <v>43</v>
      </c>
      <c r="X177" s="16">
        <v>4695</v>
      </c>
      <c r="Y177" s="16">
        <v>1880</v>
      </c>
      <c r="Z177" s="16">
        <v>1575</v>
      </c>
      <c r="AA177" s="16" t="s">
        <v>36</v>
      </c>
      <c r="AB177" s="16" t="s">
        <v>485</v>
      </c>
    </row>
    <row r="178" spans="1:28" x14ac:dyDescent="0.3">
      <c r="A178" s="16" t="s">
        <v>464</v>
      </c>
      <c r="B178" s="16" t="s">
        <v>486</v>
      </c>
      <c r="C178" s="16">
        <v>190</v>
      </c>
      <c r="D17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78" s="16">
        <v>73</v>
      </c>
      <c r="F178" s="16" t="str">
        <f>IF(electric_vehicles_spec_2025_csv[[#This Row],[battery_capacity_kWh]]&lt;=30, "0–30 kWh", IF(electric_vehicles_spec_2025_csv[[#This Row],[battery_capacity_kWh]]&lt;=60, "31–60 kWh", "61+ kWh"))</f>
        <v>61+ kWh</v>
      </c>
      <c r="G178" s="16" t="s">
        <v>24</v>
      </c>
      <c r="H178" s="16">
        <v>348</v>
      </c>
      <c r="I178" s="16">
        <v>350</v>
      </c>
      <c r="J178" s="16">
        <v>165</v>
      </c>
      <c r="K178" s="16" t="str">
        <f t="shared" si="2"/>
        <v>161+ Wh/km</v>
      </c>
      <c r="L178" s="16">
        <v>355</v>
      </c>
      <c r="M178" s="16" t="str">
        <f>IF(electric_vehicles_spec_2025_csv[[#This Row],[range_km]]&lt;=200, "0–200 km",IF(electric_vehicles_spec_2025_csv[[#This Row],[range_km]]&lt;=400, "201–400 km", "401+ km"))</f>
        <v>201–400 km</v>
      </c>
      <c r="N178" s="16">
        <v>8.5</v>
      </c>
      <c r="O178" s="16" t="str">
        <f>IF(electric_vehicles_spec_2025_csv[[#This Row],[acceleration_0_100_s]]&lt;4,"0–3.9 s",IF(electric_vehicles_spec_2025_csv[[#This Row],[acceleration_0_100_s]]&lt;6,"4.0–5.9 s",IF(electric_vehicles_spec_2025_csv[[#This Row],[acceleration_0_100_s]]&lt;8,"6.0–7.9 s","8.0+ s")))</f>
        <v>8.0+ s</v>
      </c>
      <c r="P178" s="16">
        <v>160</v>
      </c>
      <c r="Q178" s="16" t="str">
        <f>IF(electric_vehicles_spec_2025_csv[[#This Row],[fast_charging_power_kw_dc]]&lt;50,"0–49 kW",IF(electric_vehicles_spec_2025_csv[[#This Row],[fast_charging_power_kw_dc]]&lt;100,"50–99 kW",IF(electric_vehicles_spec_2025_csv[[#This Row],[fast_charging_power_kw_dc]]&lt;150,"100–149 kW","150+ kW")))</f>
        <v>150+ kW</v>
      </c>
      <c r="R178" s="16" t="s">
        <v>25</v>
      </c>
      <c r="S178" s="16">
        <v>900</v>
      </c>
      <c r="T178" s="16" t="s">
        <v>383</v>
      </c>
      <c r="U178" s="16">
        <v>7</v>
      </c>
      <c r="V178" s="16" t="s">
        <v>63</v>
      </c>
      <c r="W178" s="16" t="s">
        <v>239</v>
      </c>
      <c r="X178" s="16">
        <v>5010</v>
      </c>
      <c r="Y178" s="16">
        <v>1980</v>
      </c>
      <c r="Z178" s="16">
        <v>1755</v>
      </c>
      <c r="AA178" s="16" t="s">
        <v>36</v>
      </c>
      <c r="AB178" s="16" t="s">
        <v>487</v>
      </c>
    </row>
    <row r="179" spans="1:28" x14ac:dyDescent="0.3">
      <c r="A179" s="16" t="s">
        <v>464</v>
      </c>
      <c r="B179" s="16" t="s">
        <v>488</v>
      </c>
      <c r="C179" s="16">
        <v>200</v>
      </c>
      <c r="D17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79" s="16">
        <v>96</v>
      </c>
      <c r="F179" s="16" t="str">
        <f>IF(electric_vehicles_spec_2025_csv[[#This Row],[battery_capacity_kWh]]&lt;=30, "0–30 kWh", IF(electric_vehicles_spec_2025_csv[[#This Row],[battery_capacity_kWh]]&lt;=60, "31–60 kWh", "61+ kWh"))</f>
        <v>61+ kWh</v>
      </c>
      <c r="G179" s="16" t="s">
        <v>24</v>
      </c>
      <c r="H179" s="16">
        <v>456</v>
      </c>
      <c r="I179" s="16">
        <v>600</v>
      </c>
      <c r="J179" s="16">
        <v>188</v>
      </c>
      <c r="K179" s="16" t="str">
        <f t="shared" si="2"/>
        <v>161+ Wh/km</v>
      </c>
      <c r="L179" s="16">
        <v>435</v>
      </c>
      <c r="M179" s="16" t="str">
        <f>IF(electric_vehicles_spec_2025_csv[[#This Row],[range_km]]&lt;=200, "0–200 km",IF(electric_vehicles_spec_2025_csv[[#This Row],[range_km]]&lt;=400, "201–400 km", "401+ km"))</f>
        <v>401+ km</v>
      </c>
      <c r="N179" s="16">
        <v>6</v>
      </c>
      <c r="O179" s="16" t="str">
        <f>IF(electric_vehicles_spec_2025_csv[[#This Row],[acceleration_0_100_s]]&lt;4,"0–3.9 s",IF(electric_vehicles_spec_2025_csv[[#This Row],[acceleration_0_100_s]]&lt;6,"4.0–5.9 s",IF(electric_vehicles_spec_2025_csv[[#This Row],[acceleration_0_100_s]]&lt;8,"6.0–7.9 s","8.0+ s")))</f>
        <v>6.0–7.9 s</v>
      </c>
      <c r="P179" s="16">
        <v>194</v>
      </c>
      <c r="Q179" s="16" t="str">
        <f>IF(electric_vehicles_spec_2025_csv[[#This Row],[fast_charging_power_kw_dc]]&lt;50,"0–49 kW",IF(electric_vehicles_spec_2025_csv[[#This Row],[fast_charging_power_kw_dc]]&lt;100,"50–99 kW",IF(electric_vehicles_spec_2025_csv[[#This Row],[fast_charging_power_kw_dc]]&lt;150,"100–149 kW","150+ kW")))</f>
        <v>150+ kW</v>
      </c>
      <c r="R179" s="16" t="s">
        <v>25</v>
      </c>
      <c r="S179" s="16">
        <v>2500</v>
      </c>
      <c r="T179" s="16" t="s">
        <v>383</v>
      </c>
      <c r="U179" s="16">
        <v>7</v>
      </c>
      <c r="V179" s="16" t="s">
        <v>70</v>
      </c>
      <c r="W179" s="16" t="s">
        <v>239</v>
      </c>
      <c r="X179" s="16">
        <v>5010</v>
      </c>
      <c r="Y179" s="16">
        <v>1980</v>
      </c>
      <c r="Z179" s="16">
        <v>1755</v>
      </c>
      <c r="AA179" s="16" t="s">
        <v>36</v>
      </c>
      <c r="AB179" s="16" t="s">
        <v>489</v>
      </c>
    </row>
    <row r="180" spans="1:28" x14ac:dyDescent="0.3">
      <c r="A180" s="16" t="s">
        <v>464</v>
      </c>
      <c r="B180" s="16" t="s">
        <v>490</v>
      </c>
      <c r="C180" s="16">
        <v>220</v>
      </c>
      <c r="D18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80" s="16">
        <v>96</v>
      </c>
      <c r="F180" s="16" t="str">
        <f>IF(electric_vehicles_spec_2025_csv[[#This Row],[battery_capacity_kWh]]&lt;=30, "0–30 kWh", IF(electric_vehicles_spec_2025_csv[[#This Row],[battery_capacity_kWh]]&lt;=60, "31–60 kWh", "61+ kWh"))</f>
        <v>61+ kWh</v>
      </c>
      <c r="G180" s="16" t="s">
        <v>24</v>
      </c>
      <c r="H180" s="16">
        <v>456</v>
      </c>
      <c r="I180" s="16">
        <v>740</v>
      </c>
      <c r="J180" s="16">
        <v>190</v>
      </c>
      <c r="K180" s="16" t="str">
        <f t="shared" si="2"/>
        <v>161+ Wh/km</v>
      </c>
      <c r="L180" s="16">
        <v>420</v>
      </c>
      <c r="M180" s="16" t="str">
        <f>IF(electric_vehicles_spec_2025_csv[[#This Row],[range_km]]&lt;=200, "0–200 km",IF(electric_vehicles_spec_2025_csv[[#This Row],[range_km]]&lt;=400, "201–400 km", "401+ km"))</f>
        <v>401+ km</v>
      </c>
      <c r="N180" s="16">
        <v>4.5999999999999996</v>
      </c>
      <c r="O180" s="16" t="str">
        <f>IF(electric_vehicles_spec_2025_csv[[#This Row],[acceleration_0_100_s]]&lt;4,"0–3.9 s",IF(electric_vehicles_spec_2025_csv[[#This Row],[acceleration_0_100_s]]&lt;6,"4.0–5.9 s",IF(electric_vehicles_spec_2025_csv[[#This Row],[acceleration_0_100_s]]&lt;8,"6.0–7.9 s","8.0+ s")))</f>
        <v>4.0–5.9 s</v>
      </c>
      <c r="P180" s="16">
        <v>194</v>
      </c>
      <c r="Q180" s="16" t="str">
        <f>IF(electric_vehicles_spec_2025_csv[[#This Row],[fast_charging_power_kw_dc]]&lt;50,"0–49 kW",IF(electric_vehicles_spec_2025_csv[[#This Row],[fast_charging_power_kw_dc]]&lt;100,"50–99 kW",IF(electric_vehicles_spec_2025_csv[[#This Row],[fast_charging_power_kw_dc]]&lt;150,"100–149 kW","150+ kW")))</f>
        <v>150+ kW</v>
      </c>
      <c r="R180" s="16" t="s">
        <v>25</v>
      </c>
      <c r="S180" s="16">
        <v>2500</v>
      </c>
      <c r="T180" s="16" t="s">
        <v>383</v>
      </c>
      <c r="U180" s="16">
        <v>7</v>
      </c>
      <c r="V180" s="16" t="s">
        <v>70</v>
      </c>
      <c r="W180" s="16" t="s">
        <v>239</v>
      </c>
      <c r="X180" s="16">
        <v>5015</v>
      </c>
      <c r="Y180" s="16">
        <v>1980</v>
      </c>
      <c r="Z180" s="16">
        <v>1755</v>
      </c>
      <c r="AA180" s="16" t="s">
        <v>36</v>
      </c>
      <c r="AB180" s="16" t="s">
        <v>491</v>
      </c>
    </row>
    <row r="181" spans="1:28" x14ac:dyDescent="0.3">
      <c r="A181" s="16" t="s">
        <v>464</v>
      </c>
      <c r="B181" s="16" t="s">
        <v>492</v>
      </c>
      <c r="C181" s="16">
        <v>200</v>
      </c>
      <c r="D18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81" s="16">
        <v>96</v>
      </c>
      <c r="F181" s="16" t="str">
        <f>IF(electric_vehicles_spec_2025_csv[[#This Row],[battery_capacity_kWh]]&lt;=30, "0–30 kWh", IF(electric_vehicles_spec_2025_csv[[#This Row],[battery_capacity_kWh]]&lt;=60, "31–60 kWh", "61+ kWh"))</f>
        <v>61+ kWh</v>
      </c>
      <c r="G181" s="16" t="s">
        <v>24</v>
      </c>
      <c r="H181" s="16">
        <v>456</v>
      </c>
      <c r="I181" s="16">
        <v>700</v>
      </c>
      <c r="J181" s="16">
        <v>190</v>
      </c>
      <c r="K181" s="16" t="str">
        <f t="shared" si="2"/>
        <v>161+ Wh/km</v>
      </c>
      <c r="L181" s="16">
        <v>425</v>
      </c>
      <c r="M181" s="16" t="str">
        <f>IF(electric_vehicles_spec_2025_csv[[#This Row],[range_km]]&lt;=200, "0–200 km",IF(electric_vehicles_spec_2025_csv[[#This Row],[range_km]]&lt;=400, "201–400 km", "401+ km"))</f>
        <v>401+ km</v>
      </c>
      <c r="N181" s="16">
        <v>5.3</v>
      </c>
      <c r="O181" s="16" t="str">
        <f>IF(electric_vehicles_spec_2025_csv[[#This Row],[acceleration_0_100_s]]&lt;4,"0–3.9 s",IF(electric_vehicles_spec_2025_csv[[#This Row],[acceleration_0_100_s]]&lt;6,"4.0–5.9 s",IF(electric_vehicles_spec_2025_csv[[#This Row],[acceleration_0_100_s]]&lt;8,"6.0–7.9 s","8.0+ s")))</f>
        <v>4.0–5.9 s</v>
      </c>
      <c r="P181" s="16">
        <v>194</v>
      </c>
      <c r="Q181" s="16" t="str">
        <f>IF(electric_vehicles_spec_2025_csv[[#This Row],[fast_charging_power_kw_dc]]&lt;50,"0–49 kW",IF(electric_vehicles_spec_2025_csv[[#This Row],[fast_charging_power_kw_dc]]&lt;100,"50–99 kW",IF(electric_vehicles_spec_2025_csv[[#This Row],[fast_charging_power_kw_dc]]&lt;150,"100–149 kW","150+ kW")))</f>
        <v>150+ kW</v>
      </c>
      <c r="R181" s="16" t="s">
        <v>25</v>
      </c>
      <c r="S181" s="16">
        <v>2500</v>
      </c>
      <c r="T181" s="16" t="s">
        <v>383</v>
      </c>
      <c r="U181" s="16">
        <v>7</v>
      </c>
      <c r="V181" s="16" t="s">
        <v>70</v>
      </c>
      <c r="W181" s="16" t="s">
        <v>239</v>
      </c>
      <c r="X181" s="16">
        <v>5015</v>
      </c>
      <c r="Y181" s="16">
        <v>1980</v>
      </c>
      <c r="Z181" s="16">
        <v>1780</v>
      </c>
      <c r="AA181" s="16" t="s">
        <v>36</v>
      </c>
      <c r="AB181" s="16" t="s">
        <v>493</v>
      </c>
    </row>
    <row r="182" spans="1:28" x14ac:dyDescent="0.3">
      <c r="A182" s="16" t="s">
        <v>464</v>
      </c>
      <c r="B182" s="16" t="s">
        <v>494</v>
      </c>
      <c r="C182" s="16">
        <v>185</v>
      </c>
      <c r="D18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82" s="16">
        <v>96</v>
      </c>
      <c r="F182" s="16" t="str">
        <f>IF(electric_vehicles_spec_2025_csv[[#This Row],[battery_capacity_kWh]]&lt;=30, "0–30 kWh", IF(electric_vehicles_spec_2025_csv[[#This Row],[battery_capacity_kWh]]&lt;=60, "31–60 kWh", "61+ kWh"))</f>
        <v>61+ kWh</v>
      </c>
      <c r="G182" s="16" t="s">
        <v>24</v>
      </c>
      <c r="H182" s="16">
        <v>456</v>
      </c>
      <c r="I182" s="16">
        <v>350</v>
      </c>
      <c r="J182" s="16">
        <v>171</v>
      </c>
      <c r="K182" s="16" t="str">
        <f t="shared" si="2"/>
        <v>161+ Wh/km</v>
      </c>
      <c r="L182" s="16">
        <v>450</v>
      </c>
      <c r="M182" s="16" t="str">
        <f>IF(electric_vehicles_spec_2025_csv[[#This Row],[range_km]]&lt;=200, "0–200 km",IF(electric_vehicles_spec_2025_csv[[#This Row],[range_km]]&lt;=400, "201–400 km", "401+ km"))</f>
        <v>401+ km</v>
      </c>
      <c r="N182" s="16">
        <v>9.4</v>
      </c>
      <c r="O182" s="16" t="str">
        <f>IF(electric_vehicles_spec_2025_csv[[#This Row],[acceleration_0_100_s]]&lt;4,"0–3.9 s",IF(electric_vehicles_spec_2025_csv[[#This Row],[acceleration_0_100_s]]&lt;6,"4.0–5.9 s",IF(electric_vehicles_spec_2025_csv[[#This Row],[acceleration_0_100_s]]&lt;8,"6.0–7.9 s","8.0+ s")))</f>
        <v>8.0+ s</v>
      </c>
      <c r="P182" s="16">
        <v>194</v>
      </c>
      <c r="Q182" s="16" t="str">
        <f>IF(electric_vehicles_spec_2025_csv[[#This Row],[fast_charging_power_kw_dc]]&lt;50,"0–49 kW",IF(electric_vehicles_spec_2025_csv[[#This Row],[fast_charging_power_kw_dc]]&lt;100,"50–99 kW",IF(electric_vehicles_spec_2025_csv[[#This Row],[fast_charging_power_kw_dc]]&lt;150,"100–149 kW","150+ kW")))</f>
        <v>150+ kW</v>
      </c>
      <c r="R182" s="16" t="s">
        <v>25</v>
      </c>
      <c r="S182" s="16">
        <v>900</v>
      </c>
      <c r="T182" s="16" t="s">
        <v>383</v>
      </c>
      <c r="U182" s="16">
        <v>7</v>
      </c>
      <c r="V182" s="16" t="s">
        <v>63</v>
      </c>
      <c r="W182" s="16" t="s">
        <v>239</v>
      </c>
      <c r="X182" s="16">
        <v>5010</v>
      </c>
      <c r="Y182" s="16">
        <v>1980</v>
      </c>
      <c r="Z182" s="16">
        <v>1755</v>
      </c>
      <c r="AA182" s="16" t="s">
        <v>36</v>
      </c>
      <c r="AB182" s="16" t="s">
        <v>495</v>
      </c>
    </row>
    <row r="183" spans="1:28" x14ac:dyDescent="0.3">
      <c r="A183" s="16" t="s">
        <v>464</v>
      </c>
      <c r="B183" s="16" t="s">
        <v>496</v>
      </c>
      <c r="C183" s="16">
        <v>167</v>
      </c>
      <c r="D18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83" s="16">
        <v>64.8</v>
      </c>
      <c r="F183" s="16" t="str">
        <f>IF(electric_vehicles_spec_2025_csv[[#This Row],[battery_capacity_kWh]]&lt;=30, "0–30 kWh", IF(electric_vehicles_spec_2025_csv[[#This Row],[battery_capacity_kWh]]&lt;=60, "31–60 kWh", "61+ kWh"))</f>
        <v>61+ kWh</v>
      </c>
      <c r="G183" s="16" t="s">
        <v>24</v>
      </c>
      <c r="H183" s="16">
        <v>96</v>
      </c>
      <c r="I183" s="16">
        <v>255</v>
      </c>
      <c r="J183" s="16">
        <v>140</v>
      </c>
      <c r="K183" s="16" t="str">
        <f t="shared" si="2"/>
        <v>131–160 Wh/km</v>
      </c>
      <c r="L183" s="16">
        <v>385</v>
      </c>
      <c r="M183" s="16" t="str">
        <f>IF(electric_vehicles_spec_2025_csv[[#This Row],[range_km]]&lt;=200, "0–200 km",IF(electric_vehicles_spec_2025_csv[[#This Row],[range_km]]&lt;=400, "201–400 km", "401+ km"))</f>
        <v>201–400 km</v>
      </c>
      <c r="N183" s="16">
        <v>7.8</v>
      </c>
      <c r="O183" s="16" t="str">
        <f>IF(electric_vehicles_spec_2025_csv[[#This Row],[acceleration_0_100_s]]&lt;4,"0–3.9 s",IF(electric_vehicles_spec_2025_csv[[#This Row],[acceleration_0_100_s]]&lt;6,"4.0–5.9 s",IF(electric_vehicles_spec_2025_csv[[#This Row],[acceleration_0_100_s]]&lt;8,"6.0–7.9 s","8.0+ s")))</f>
        <v>6.0–7.9 s</v>
      </c>
      <c r="P183" s="16">
        <v>70</v>
      </c>
      <c r="Q183" s="16" t="str">
        <f>IF(electric_vehicles_spec_2025_csv[[#This Row],[fast_charging_power_kw_dc]]&lt;50,"0–49 kW",IF(electric_vehicles_spec_2025_csv[[#This Row],[fast_charging_power_kw_dc]]&lt;100,"50–99 kW",IF(electric_vehicles_spec_2025_csv[[#This Row],[fast_charging_power_kw_dc]]&lt;150,"100–149 kW","150+ kW")))</f>
        <v>50–99 kW</v>
      </c>
      <c r="R183" s="16" t="s">
        <v>25</v>
      </c>
      <c r="S183" s="16">
        <v>750</v>
      </c>
      <c r="T183" s="16" t="s">
        <v>497</v>
      </c>
      <c r="U183" s="16">
        <v>5</v>
      </c>
      <c r="V183" s="16" t="s">
        <v>27</v>
      </c>
      <c r="W183" s="16" t="s">
        <v>43</v>
      </c>
      <c r="X183" s="16">
        <v>4420</v>
      </c>
      <c r="Y183" s="16">
        <v>1825</v>
      </c>
      <c r="Z183" s="16">
        <v>1570</v>
      </c>
      <c r="AA183" s="16" t="s">
        <v>36</v>
      </c>
      <c r="AB183" s="16" t="s">
        <v>498</v>
      </c>
    </row>
    <row r="184" spans="1:28" x14ac:dyDescent="0.3">
      <c r="A184" s="16" t="s">
        <v>499</v>
      </c>
      <c r="B184" s="16" t="s">
        <v>500</v>
      </c>
      <c r="C184" s="16">
        <v>150</v>
      </c>
      <c r="D18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84" s="16">
        <v>48.1</v>
      </c>
      <c r="F184" s="16" t="str">
        <f>IF(electric_vehicles_spec_2025_csv[[#This Row],[battery_capacity_kWh]]&lt;=30, "0–30 kWh", IF(electric_vehicles_spec_2025_csv[[#This Row],[battery_capacity_kWh]]&lt;=60, "31–60 kWh", "61+ kWh"))</f>
        <v>31–60 kWh</v>
      </c>
      <c r="G184" s="16" t="s">
        <v>24</v>
      </c>
      <c r="H184" s="16">
        <v>96</v>
      </c>
      <c r="I184" s="16">
        <v>260</v>
      </c>
      <c r="J184" s="16">
        <v>122</v>
      </c>
      <c r="K184" s="16" t="str">
        <f t="shared" si="2"/>
        <v>0–130 Wh/km</v>
      </c>
      <c r="L184" s="16">
        <v>310</v>
      </c>
      <c r="M184" s="16" t="str">
        <f>IF(electric_vehicles_spec_2025_csv[[#This Row],[range_km]]&lt;=200, "0–200 km",IF(electric_vehicles_spec_2025_csv[[#This Row],[range_km]]&lt;=400, "201–400 km", "401+ km"))</f>
        <v>201–400 km</v>
      </c>
      <c r="N184" s="16">
        <v>8.1999999999999993</v>
      </c>
      <c r="O184" s="16" t="str">
        <f>IF(electric_vehicles_spec_2025_csv[[#This Row],[acceleration_0_100_s]]&lt;4,"0–3.9 s",IF(electric_vehicles_spec_2025_csv[[#This Row],[acceleration_0_100_s]]&lt;6,"4.0–5.9 s",IF(electric_vehicles_spec_2025_csv[[#This Row],[acceleration_0_100_s]]&lt;8,"6.0–7.9 s","8.0+ s")))</f>
        <v>8.0+ s</v>
      </c>
      <c r="P184" s="16">
        <v>80</v>
      </c>
      <c r="Q184" s="16" t="str">
        <f>IF(electric_vehicles_spec_2025_csv[[#This Row],[fast_charging_power_kw_dc]]&lt;50,"0–49 kW",IF(electric_vehicles_spec_2025_csv[[#This Row],[fast_charging_power_kw_dc]]&lt;100,"50–99 kW",IF(electric_vehicles_spec_2025_csv[[#This Row],[fast_charging_power_kw_dc]]&lt;150,"100–149 kW","150+ kW")))</f>
        <v>50–99 kW</v>
      </c>
      <c r="R184" s="16" t="s">
        <v>25</v>
      </c>
      <c r="S184" s="16">
        <v>0</v>
      </c>
      <c r="T184" s="16" t="s">
        <v>501</v>
      </c>
      <c r="U184" s="16">
        <v>5</v>
      </c>
      <c r="V184" s="16" t="s">
        <v>27</v>
      </c>
      <c r="W184" s="16" t="s">
        <v>28</v>
      </c>
      <c r="X184" s="16">
        <v>4080</v>
      </c>
      <c r="Y184" s="16">
        <v>1760</v>
      </c>
      <c r="Z184" s="16">
        <v>1440</v>
      </c>
      <c r="AA184" s="16" t="s">
        <v>29</v>
      </c>
      <c r="AB184" s="16" t="s">
        <v>502</v>
      </c>
    </row>
    <row r="185" spans="1:28" x14ac:dyDescent="0.3">
      <c r="A185" s="16" t="s">
        <v>503</v>
      </c>
      <c r="B185" s="16" t="s">
        <v>504</v>
      </c>
      <c r="C185" s="16">
        <v>170</v>
      </c>
      <c r="D18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85" s="16">
        <v>69.900000000000006</v>
      </c>
      <c r="F185" s="16" t="str">
        <f>IF(electric_vehicles_spec_2025_csv[[#This Row],[battery_capacity_kWh]]&lt;=30, "0–30 kWh", IF(electric_vehicles_spec_2025_csv[[#This Row],[battery_capacity_kWh]]&lt;=60, "31–60 kWh", "61+ kWh"))</f>
        <v>61+ kWh</v>
      </c>
      <c r="G185" s="16" t="s">
        <v>24</v>
      </c>
      <c r="H185" s="16"/>
      <c r="I185" s="16">
        <v>320</v>
      </c>
      <c r="J185" s="16">
        <v>166</v>
      </c>
      <c r="K185" s="16" t="str">
        <f t="shared" si="2"/>
        <v>161+ Wh/km</v>
      </c>
      <c r="L185" s="16">
        <v>350</v>
      </c>
      <c r="M185" s="16" t="str">
        <f>IF(electric_vehicles_spec_2025_csv[[#This Row],[range_km]]&lt;=200, "0–200 km",IF(electric_vehicles_spec_2025_csv[[#This Row],[range_km]]&lt;=400, "201–400 km", "401+ km"))</f>
        <v>201–400 km</v>
      </c>
      <c r="N185" s="16">
        <v>7.5</v>
      </c>
      <c r="O185" s="16" t="str">
        <f>IF(electric_vehicles_spec_2025_csv[[#This Row],[acceleration_0_100_s]]&lt;4,"0–3.9 s",IF(electric_vehicles_spec_2025_csv[[#This Row],[acceleration_0_100_s]]&lt;6,"4.0–5.9 s",IF(electric_vehicles_spec_2025_csv[[#This Row],[acceleration_0_100_s]]&lt;8,"6.0–7.9 s","8.0+ s")))</f>
        <v>6.0–7.9 s</v>
      </c>
      <c r="P185" s="16">
        <v>70</v>
      </c>
      <c r="Q185" s="16" t="str">
        <f>IF(electric_vehicles_spec_2025_csv[[#This Row],[fast_charging_power_kw_dc]]&lt;50,"0–49 kW",IF(electric_vehicles_spec_2025_csv[[#This Row],[fast_charging_power_kw_dc]]&lt;100,"50–99 kW",IF(electric_vehicles_spec_2025_csv[[#This Row],[fast_charging_power_kw_dc]]&lt;150,"100–149 kW","150+ kW")))</f>
        <v>50–99 kW</v>
      </c>
      <c r="R185" s="16" t="s">
        <v>25</v>
      </c>
      <c r="S185" s="16">
        <v>1500</v>
      </c>
      <c r="T185" s="16" t="s">
        <v>470</v>
      </c>
      <c r="U185" s="16">
        <v>5</v>
      </c>
      <c r="V185" s="16" t="s">
        <v>63</v>
      </c>
      <c r="W185" s="16" t="s">
        <v>99</v>
      </c>
      <c r="X185" s="16">
        <v>4739</v>
      </c>
      <c r="Y185" s="16">
        <v>1900</v>
      </c>
      <c r="Z185" s="16">
        <v>1680</v>
      </c>
      <c r="AA185" s="16" t="s">
        <v>36</v>
      </c>
      <c r="AB185" s="16" t="s">
        <v>505</v>
      </c>
    </row>
    <row r="186" spans="1:28" x14ac:dyDescent="0.3">
      <c r="A186" s="16" t="s">
        <v>503</v>
      </c>
      <c r="B186" s="16" t="s">
        <v>506</v>
      </c>
      <c r="C186" s="16">
        <v>130</v>
      </c>
      <c r="D18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186" s="16">
        <v>36</v>
      </c>
      <c r="F186" s="16" t="str">
        <f>IF(electric_vehicles_spec_2025_csv[[#This Row],[battery_capacity_kWh]]&lt;=30, "0–30 kWh", IF(electric_vehicles_spec_2025_csv[[#This Row],[battery_capacity_kWh]]&lt;=60, "31–60 kWh", "61+ kWh"))</f>
        <v>31–60 kWh</v>
      </c>
      <c r="G186" s="16" t="s">
        <v>24</v>
      </c>
      <c r="H186" s="16"/>
      <c r="I186" s="16">
        <v>158</v>
      </c>
      <c r="J186" s="16">
        <v>136</v>
      </c>
      <c r="K186" s="16" t="str">
        <f t="shared" si="2"/>
        <v>131–160 Wh/km</v>
      </c>
      <c r="L186" s="16">
        <v>225</v>
      </c>
      <c r="M186" s="16" t="str">
        <f>IF(electric_vehicles_spec_2025_csv[[#This Row],[range_km]]&lt;=200, "0–200 km",IF(electric_vehicles_spec_2025_csv[[#This Row],[range_km]]&lt;=400, "201–400 km", "401+ km"))</f>
        <v>201–400 km</v>
      </c>
      <c r="N186" s="16">
        <v>12.7</v>
      </c>
      <c r="O186" s="16" t="str">
        <f>IF(electric_vehicles_spec_2025_csv[[#This Row],[acceleration_0_100_s]]&lt;4,"0–3.9 s",IF(electric_vehicles_spec_2025_csv[[#This Row],[acceleration_0_100_s]]&lt;6,"4.0–5.9 s",IF(electric_vehicles_spec_2025_csv[[#This Row],[acceleration_0_100_s]]&lt;8,"6.0–7.9 s","8.0+ s")))</f>
        <v>8.0+ s</v>
      </c>
      <c r="P186" s="16">
        <v>30</v>
      </c>
      <c r="Q186" s="16" t="str">
        <f>IF(electric_vehicles_spec_2025_csv[[#This Row],[fast_charging_power_kw_dc]]&lt;50,"0–49 kW",IF(electric_vehicles_spec_2025_csv[[#This Row],[fast_charging_power_kw_dc]]&lt;100,"50–99 kW",IF(electric_vehicles_spec_2025_csv[[#This Row],[fast_charging_power_kw_dc]]&lt;150,"100–149 kW","150+ kW")))</f>
        <v>0–49 kW</v>
      </c>
      <c r="R186" s="16" t="s">
        <v>25</v>
      </c>
      <c r="S186" s="16"/>
      <c r="T186" s="16" t="s">
        <v>507</v>
      </c>
      <c r="U186" s="16">
        <v>4</v>
      </c>
      <c r="V186" s="16" t="s">
        <v>27</v>
      </c>
      <c r="W186" s="16" t="s">
        <v>291</v>
      </c>
      <c r="X186" s="16">
        <v>3620</v>
      </c>
      <c r="Y186" s="16">
        <v>1652</v>
      </c>
      <c r="Z186" s="16">
        <v>1577</v>
      </c>
      <c r="AA186" s="16" t="s">
        <v>29</v>
      </c>
      <c r="AB186" s="16" t="s">
        <v>508</v>
      </c>
    </row>
    <row r="187" spans="1:28" x14ac:dyDescent="0.3">
      <c r="A187" s="16" t="s">
        <v>509</v>
      </c>
      <c r="B187" s="16" t="s">
        <v>510</v>
      </c>
      <c r="C187" s="16">
        <v>160</v>
      </c>
      <c r="D18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87" s="16">
        <v>64</v>
      </c>
      <c r="F187" s="16" t="str">
        <f>IF(electric_vehicles_spec_2025_csv[[#This Row],[battery_capacity_kWh]]&lt;=30, "0–30 kWh", IF(electric_vehicles_spec_2025_csv[[#This Row],[battery_capacity_kWh]]&lt;=60, "31–60 kWh", "61+ kWh"))</f>
        <v>61+ kWh</v>
      </c>
      <c r="G187" s="16" t="s">
        <v>24</v>
      </c>
      <c r="H187" s="16">
        <v>96</v>
      </c>
      <c r="I187" s="16">
        <v>266</v>
      </c>
      <c r="J187" s="16">
        <v>149</v>
      </c>
      <c r="K187" s="16" t="str">
        <f t="shared" si="2"/>
        <v>131–160 Wh/km</v>
      </c>
      <c r="L187" s="16">
        <v>365</v>
      </c>
      <c r="M187" s="16" t="str">
        <f>IF(electric_vehicles_spec_2025_csv[[#This Row],[range_km]]&lt;=200, "0–200 km",IF(electric_vehicles_spec_2025_csv[[#This Row],[range_km]]&lt;=400, "201–400 km", "401+ km"))</f>
        <v>201–400 km</v>
      </c>
      <c r="N187" s="16">
        <v>8</v>
      </c>
      <c r="O187" s="16" t="str">
        <f>IF(electric_vehicles_spec_2025_csv[[#This Row],[acceleration_0_100_s]]&lt;4,"0–3.9 s",IF(electric_vehicles_spec_2025_csv[[#This Row],[acceleration_0_100_s]]&lt;6,"4.0–5.9 s",IF(electric_vehicles_spec_2025_csv[[#This Row],[acceleration_0_100_s]]&lt;8,"6.0–7.9 s","8.0+ s")))</f>
        <v>8.0+ s</v>
      </c>
      <c r="P187" s="16">
        <v>100</v>
      </c>
      <c r="Q187" s="16" t="str">
        <f>IF(electric_vehicles_spec_2025_csv[[#This Row],[fast_charging_power_kw_dc]]&lt;50,"0–49 kW",IF(electric_vehicles_spec_2025_csv[[#This Row],[fast_charging_power_kw_dc]]&lt;100,"50–99 kW",IF(electric_vehicles_spec_2025_csv[[#This Row],[fast_charging_power_kw_dc]]&lt;150,"100–149 kW","150+ kW")))</f>
        <v>100–149 kW</v>
      </c>
      <c r="R187" s="16" t="s">
        <v>25</v>
      </c>
      <c r="S187" s="16">
        <v>750</v>
      </c>
      <c r="T187" s="16" t="s">
        <v>511</v>
      </c>
      <c r="U187" s="16">
        <v>5</v>
      </c>
      <c r="V187" s="16" t="s">
        <v>27</v>
      </c>
      <c r="W187" s="16" t="s">
        <v>43</v>
      </c>
      <c r="X187" s="16">
        <v>4690</v>
      </c>
      <c r="Y187" s="16">
        <v>1860</v>
      </c>
      <c r="Z187" s="16">
        <v>1600</v>
      </c>
      <c r="AA187" s="16" t="s">
        <v>36</v>
      </c>
      <c r="AB187" s="16" t="s">
        <v>512</v>
      </c>
    </row>
    <row r="188" spans="1:28" x14ac:dyDescent="0.3">
      <c r="A188" s="16" t="s">
        <v>509</v>
      </c>
      <c r="B188" s="16" t="s">
        <v>513</v>
      </c>
      <c r="C188" s="16">
        <v>160</v>
      </c>
      <c r="D18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88" s="16">
        <v>64</v>
      </c>
      <c r="F188" s="16" t="str">
        <f>IF(electric_vehicles_spec_2025_csv[[#This Row],[battery_capacity_kWh]]&lt;=30, "0–30 kWh", IF(electric_vehicles_spec_2025_csv[[#This Row],[battery_capacity_kWh]]&lt;=60, "31–60 kWh", "61+ kWh"))</f>
        <v>61+ kWh</v>
      </c>
      <c r="G188" s="16" t="s">
        <v>24</v>
      </c>
      <c r="H188" s="16">
        <v>96</v>
      </c>
      <c r="I188" s="16">
        <v>435</v>
      </c>
      <c r="J188" s="16">
        <v>158</v>
      </c>
      <c r="K188" s="16" t="str">
        <f t="shared" si="2"/>
        <v>131–160 Wh/km</v>
      </c>
      <c r="L188" s="16">
        <v>350</v>
      </c>
      <c r="M188" s="16" t="str">
        <f>IF(electric_vehicles_spec_2025_csv[[#This Row],[range_km]]&lt;=200, "0–200 km",IF(electric_vehicles_spec_2025_csv[[#This Row],[range_km]]&lt;=400, "201–400 km", "401+ km"))</f>
        <v>201–400 km</v>
      </c>
      <c r="N188" s="16">
        <v>5.6</v>
      </c>
      <c r="O188" s="16" t="str">
        <f>IF(electric_vehicles_spec_2025_csv[[#This Row],[acceleration_0_100_s]]&lt;4,"0–3.9 s",IF(electric_vehicles_spec_2025_csv[[#This Row],[acceleration_0_100_s]]&lt;6,"4.0–5.9 s",IF(electric_vehicles_spec_2025_csv[[#This Row],[acceleration_0_100_s]]&lt;8,"6.0–7.9 s","8.0+ s")))</f>
        <v>4.0–5.9 s</v>
      </c>
      <c r="P188" s="16">
        <v>100</v>
      </c>
      <c r="Q188" s="16" t="str">
        <f>IF(electric_vehicles_spec_2025_csv[[#This Row],[fast_charging_power_kw_dc]]&lt;50,"0–49 kW",IF(electric_vehicles_spec_2025_csv[[#This Row],[fast_charging_power_kw_dc]]&lt;100,"50–99 kW",IF(electric_vehicles_spec_2025_csv[[#This Row],[fast_charging_power_kw_dc]]&lt;150,"100–149 kW","150+ kW")))</f>
        <v>100–149 kW</v>
      </c>
      <c r="R188" s="16" t="s">
        <v>25</v>
      </c>
      <c r="S188" s="16">
        <v>750</v>
      </c>
      <c r="T188" s="16" t="s">
        <v>511</v>
      </c>
      <c r="U188" s="16">
        <v>5</v>
      </c>
      <c r="V188" s="16" t="s">
        <v>70</v>
      </c>
      <c r="W188" s="16" t="s">
        <v>99</v>
      </c>
      <c r="X188" s="16">
        <v>4805</v>
      </c>
      <c r="Y188" s="16">
        <v>1895</v>
      </c>
      <c r="Z188" s="16">
        <v>1635</v>
      </c>
      <c r="AA188" s="16" t="s">
        <v>36</v>
      </c>
      <c r="AB188" s="16" t="s">
        <v>514</v>
      </c>
    </row>
    <row r="189" spans="1:28" x14ac:dyDescent="0.3">
      <c r="A189" s="16" t="s">
        <v>509</v>
      </c>
      <c r="B189" s="16" t="s">
        <v>515</v>
      </c>
      <c r="C189" s="16">
        <v>160</v>
      </c>
      <c r="D18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189" s="16">
        <v>64</v>
      </c>
      <c r="F189" s="16" t="str">
        <f>IF(electric_vehicles_spec_2025_csv[[#This Row],[battery_capacity_kWh]]&lt;=30, "0–30 kWh", IF(electric_vehicles_spec_2025_csv[[#This Row],[battery_capacity_kWh]]&lt;=60, "31–60 kWh", "61+ kWh"))</f>
        <v>61+ kWh</v>
      </c>
      <c r="G189" s="16" t="s">
        <v>24</v>
      </c>
      <c r="H189" s="16">
        <v>96</v>
      </c>
      <c r="I189" s="16">
        <v>300</v>
      </c>
      <c r="J189" s="16">
        <v>145</v>
      </c>
      <c r="K189" s="16" t="str">
        <f t="shared" si="2"/>
        <v>131–160 Wh/km</v>
      </c>
      <c r="L189" s="16">
        <v>340</v>
      </c>
      <c r="M189" s="16" t="str">
        <f>IF(electric_vehicles_spec_2025_csv[[#This Row],[range_km]]&lt;=200, "0–200 km",IF(electric_vehicles_spec_2025_csv[[#This Row],[range_km]]&lt;=400, "201–400 km", "401+ km"))</f>
        <v>201–400 km</v>
      </c>
      <c r="N189" s="16">
        <v>7.5</v>
      </c>
      <c r="O189" s="16" t="str">
        <f>IF(electric_vehicles_spec_2025_csv[[#This Row],[acceleration_0_100_s]]&lt;4,"0–3.9 s",IF(electric_vehicles_spec_2025_csv[[#This Row],[acceleration_0_100_s]]&lt;6,"4.0–5.9 s",IF(electric_vehicles_spec_2025_csv[[#This Row],[acceleration_0_100_s]]&lt;8,"6.0–7.9 s","8.0+ s")))</f>
        <v>6.0–7.9 s</v>
      </c>
      <c r="P189" s="16">
        <v>35</v>
      </c>
      <c r="Q189" s="16" t="str">
        <f>IF(electric_vehicles_spec_2025_csv[[#This Row],[fast_charging_power_kw_dc]]&lt;50,"0–49 kW",IF(electric_vehicles_spec_2025_csv[[#This Row],[fast_charging_power_kw_dc]]&lt;100,"50–99 kW",IF(electric_vehicles_spec_2025_csv[[#This Row],[fast_charging_power_kw_dc]]&lt;150,"100–149 kW","150+ kW")))</f>
        <v>0–49 kW</v>
      </c>
      <c r="R189" s="16" t="s">
        <v>516</v>
      </c>
      <c r="S189" s="16">
        <v>0</v>
      </c>
      <c r="T189" s="16" t="s">
        <v>517</v>
      </c>
      <c r="U189" s="16">
        <v>5</v>
      </c>
      <c r="V189" s="16" t="s">
        <v>27</v>
      </c>
      <c r="W189" s="16" t="s">
        <v>43</v>
      </c>
      <c r="X189" s="16">
        <v>4495</v>
      </c>
      <c r="Y189" s="16">
        <v>1840</v>
      </c>
      <c r="Z189" s="16">
        <v>1545</v>
      </c>
      <c r="AA189" s="16" t="s">
        <v>36</v>
      </c>
      <c r="AB189" s="16" t="s">
        <v>518</v>
      </c>
    </row>
    <row r="190" spans="1:28" x14ac:dyDescent="0.3">
      <c r="A190" s="16" t="s">
        <v>519</v>
      </c>
      <c r="B190" s="16" t="s">
        <v>520</v>
      </c>
      <c r="C190" s="16">
        <v>250</v>
      </c>
      <c r="D19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0" s="16">
        <v>109</v>
      </c>
      <c r="F190" s="16" t="str">
        <f>IF(electric_vehicles_spec_2025_csv[[#This Row],[battery_capacity_kWh]]&lt;=30, "0–30 kWh", IF(electric_vehicles_spec_2025_csv[[#This Row],[battery_capacity_kWh]]&lt;=60, "31–60 kWh", "61+ kWh"))</f>
        <v>61+ kWh</v>
      </c>
      <c r="G190" s="16" t="s">
        <v>24</v>
      </c>
      <c r="H190" s="16"/>
      <c r="I190" s="16">
        <v>710</v>
      </c>
      <c r="J190" s="16">
        <v>204</v>
      </c>
      <c r="K190" s="16" t="str">
        <f t="shared" si="2"/>
        <v>161+ Wh/km</v>
      </c>
      <c r="L190" s="16">
        <v>495</v>
      </c>
      <c r="M190" s="16" t="str">
        <f>IF(electric_vehicles_spec_2025_csv[[#This Row],[range_km]]&lt;=200, "0–200 km",IF(electric_vehicles_spec_2025_csv[[#This Row],[range_km]]&lt;=400, "201–400 km", "401+ km"))</f>
        <v>401+ km</v>
      </c>
      <c r="N190" s="16">
        <v>4.5</v>
      </c>
      <c r="O190" s="16" t="str">
        <f>IF(electric_vehicles_spec_2025_csv[[#This Row],[acceleration_0_100_s]]&lt;4,"0–3.9 s",IF(electric_vehicles_spec_2025_csv[[#This Row],[acceleration_0_100_s]]&lt;6,"4.0–5.9 s",IF(electric_vehicles_spec_2025_csv[[#This Row],[acceleration_0_100_s]]&lt;8,"6.0–7.9 s","8.0+ s")))</f>
        <v>4.0–5.9 s</v>
      </c>
      <c r="P190" s="16">
        <v>259</v>
      </c>
      <c r="Q190" s="16" t="str">
        <f>IF(electric_vehicles_spec_2025_csv[[#This Row],[fast_charging_power_kw_dc]]&lt;50,"0–49 kW",IF(electric_vehicles_spec_2025_csv[[#This Row],[fast_charging_power_kw_dc]]&lt;100,"50–99 kW",IF(electric_vehicles_spec_2025_csv[[#This Row],[fast_charging_power_kw_dc]]&lt;150,"100–149 kW","150+ kW")))</f>
        <v>150+ kW</v>
      </c>
      <c r="R190" s="16" t="s">
        <v>25</v>
      </c>
      <c r="S190" s="16">
        <v>2250</v>
      </c>
      <c r="T190" s="16" t="s">
        <v>521</v>
      </c>
      <c r="U190" s="16">
        <v>5</v>
      </c>
      <c r="V190" s="16" t="s">
        <v>70</v>
      </c>
      <c r="W190" s="16" t="s">
        <v>239</v>
      </c>
      <c r="X190" s="16">
        <v>5103</v>
      </c>
      <c r="Y190" s="16">
        <v>2019</v>
      </c>
      <c r="Z190" s="16">
        <v>1630</v>
      </c>
      <c r="AA190" s="16" t="s">
        <v>36</v>
      </c>
      <c r="AB190" s="16" t="s">
        <v>522</v>
      </c>
    </row>
    <row r="191" spans="1:28" x14ac:dyDescent="0.3">
      <c r="A191" s="16" t="s">
        <v>519</v>
      </c>
      <c r="B191" s="16" t="s">
        <v>523</v>
      </c>
      <c r="C191" s="16">
        <v>260</v>
      </c>
      <c r="D19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1" s="16">
        <v>109</v>
      </c>
      <c r="F191" s="16" t="str">
        <f>IF(electric_vehicles_spec_2025_csv[[#This Row],[battery_capacity_kWh]]&lt;=30, "0–30 kWh", IF(electric_vehicles_spec_2025_csv[[#This Row],[battery_capacity_kWh]]&lt;=60, "31–60 kWh", "61+ kWh"))</f>
        <v>61+ kWh</v>
      </c>
      <c r="G191" s="16" t="s">
        <v>24</v>
      </c>
      <c r="H191" s="16"/>
      <c r="I191" s="16">
        <v>985</v>
      </c>
      <c r="J191" s="16">
        <v>266</v>
      </c>
      <c r="K191" s="16" t="str">
        <f t="shared" si="2"/>
        <v>161+ Wh/km</v>
      </c>
      <c r="L191" s="16">
        <v>455</v>
      </c>
      <c r="M191" s="16" t="str">
        <f>IF(electric_vehicles_spec_2025_csv[[#This Row],[range_km]]&lt;=200, "0–200 km",IF(electric_vehicles_spec_2025_csv[[#This Row],[range_km]]&lt;=400, "201–400 km", "401+ km"))</f>
        <v>401+ km</v>
      </c>
      <c r="N191" s="16">
        <v>2.9</v>
      </c>
      <c r="O191" s="16" t="str">
        <f>IF(electric_vehicles_spec_2025_csv[[#This Row],[acceleration_0_100_s]]&lt;4,"0–3.9 s",IF(electric_vehicles_spec_2025_csv[[#This Row],[acceleration_0_100_s]]&lt;6,"4.0–5.9 s",IF(electric_vehicles_spec_2025_csv[[#This Row],[acceleration_0_100_s]]&lt;8,"6.0–7.9 s","8.0+ s")))</f>
        <v>0–3.9 s</v>
      </c>
      <c r="P191" s="16">
        <v>259</v>
      </c>
      <c r="Q191" s="16" t="str">
        <f>IF(electric_vehicles_spec_2025_csv[[#This Row],[fast_charging_power_kw_dc]]&lt;50,"0–49 kW",IF(electric_vehicles_spec_2025_csv[[#This Row],[fast_charging_power_kw_dc]]&lt;100,"50–99 kW",IF(electric_vehicles_spec_2025_csv[[#This Row],[fast_charging_power_kw_dc]]&lt;150,"100–149 kW","150+ kW")))</f>
        <v>150+ kW</v>
      </c>
      <c r="R191" s="16" t="s">
        <v>25</v>
      </c>
      <c r="S191" s="16">
        <v>2250</v>
      </c>
      <c r="T191" s="16" t="s">
        <v>521</v>
      </c>
      <c r="U191" s="16">
        <v>5</v>
      </c>
      <c r="V191" s="16" t="s">
        <v>70</v>
      </c>
      <c r="W191" s="16" t="s">
        <v>239</v>
      </c>
      <c r="X191" s="16">
        <v>5103</v>
      </c>
      <c r="Y191" s="16">
        <v>2019</v>
      </c>
      <c r="Z191" s="16">
        <v>1636</v>
      </c>
      <c r="AA191" s="16" t="s">
        <v>36</v>
      </c>
      <c r="AB191" s="16" t="s">
        <v>524</v>
      </c>
    </row>
    <row r="192" spans="1:28" x14ac:dyDescent="0.3">
      <c r="A192" s="16" t="s">
        <v>519</v>
      </c>
      <c r="B192" s="16" t="s">
        <v>525</v>
      </c>
      <c r="C192" s="16">
        <v>250</v>
      </c>
      <c r="D19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2" s="16">
        <v>109</v>
      </c>
      <c r="F192" s="16" t="str">
        <f>IF(electric_vehicles_spec_2025_csv[[#This Row],[battery_capacity_kWh]]&lt;=30, "0–30 kWh", IF(electric_vehicles_spec_2025_csv[[#This Row],[battery_capacity_kWh]]&lt;=60, "31–60 kWh", "61+ kWh"))</f>
        <v>61+ kWh</v>
      </c>
      <c r="G192" s="16" t="s">
        <v>24</v>
      </c>
      <c r="H192" s="16"/>
      <c r="I192" s="16">
        <v>710</v>
      </c>
      <c r="J192" s="16">
        <v>222</v>
      </c>
      <c r="K192" s="16" t="str">
        <f t="shared" si="2"/>
        <v>161+ Wh/km</v>
      </c>
      <c r="L192" s="16">
        <v>480</v>
      </c>
      <c r="M192" s="16" t="str">
        <f>IF(electric_vehicles_spec_2025_csv[[#This Row],[range_km]]&lt;=200, "0–200 km",IF(electric_vehicles_spec_2025_csv[[#This Row],[range_km]]&lt;=400, "201–400 km", "401+ km"))</f>
        <v>401+ km</v>
      </c>
      <c r="N192" s="16">
        <v>4.5</v>
      </c>
      <c r="O192" s="16" t="str">
        <f>IF(electric_vehicles_spec_2025_csv[[#This Row],[acceleration_0_100_s]]&lt;4,"0–3.9 s",IF(electric_vehicles_spec_2025_csv[[#This Row],[acceleration_0_100_s]]&lt;6,"4.0–5.9 s",IF(electric_vehicles_spec_2025_csv[[#This Row],[acceleration_0_100_s]]&lt;8,"6.0–7.9 s","8.0+ s")))</f>
        <v>4.0–5.9 s</v>
      </c>
      <c r="P192" s="16">
        <v>259</v>
      </c>
      <c r="Q192" s="16" t="str">
        <f>IF(electric_vehicles_spec_2025_csv[[#This Row],[fast_charging_power_kw_dc]]&lt;50,"0–49 kW",IF(electric_vehicles_spec_2025_csv[[#This Row],[fast_charging_power_kw_dc]]&lt;100,"50–99 kW",IF(electric_vehicles_spec_2025_csv[[#This Row],[fast_charging_power_kw_dc]]&lt;150,"100–149 kW","150+ kW")))</f>
        <v>150+ kW</v>
      </c>
      <c r="R192" s="16" t="s">
        <v>25</v>
      </c>
      <c r="S192" s="16">
        <v>2250</v>
      </c>
      <c r="T192" s="16" t="s">
        <v>521</v>
      </c>
      <c r="U192" s="16">
        <v>5</v>
      </c>
      <c r="V192" s="16" t="s">
        <v>70</v>
      </c>
      <c r="W192" s="16" t="s">
        <v>239</v>
      </c>
      <c r="X192" s="16">
        <v>5103</v>
      </c>
      <c r="Y192" s="16">
        <v>2019</v>
      </c>
      <c r="Z192" s="16">
        <v>1630</v>
      </c>
      <c r="AA192" s="16" t="s">
        <v>36</v>
      </c>
      <c r="AB192" s="16" t="s">
        <v>526</v>
      </c>
    </row>
    <row r="193" spans="1:28" x14ac:dyDescent="0.3">
      <c r="A193" s="16" t="s">
        <v>519</v>
      </c>
      <c r="B193" s="16" t="s">
        <v>527</v>
      </c>
      <c r="C193" s="16">
        <v>250</v>
      </c>
      <c r="D19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3" s="16">
        <v>98.9</v>
      </c>
      <c r="F193" s="16" t="str">
        <f>IF(electric_vehicles_spec_2025_csv[[#This Row],[battery_capacity_kWh]]&lt;=30, "0–30 kWh", IF(electric_vehicles_spec_2025_csv[[#This Row],[battery_capacity_kWh]]&lt;=60, "31–60 kWh", "61+ kWh"))</f>
        <v>61+ kWh</v>
      </c>
      <c r="G193" s="16" t="s">
        <v>24</v>
      </c>
      <c r="H193" s="16"/>
      <c r="I193" s="16">
        <v>710</v>
      </c>
      <c r="J193" s="16">
        <v>198</v>
      </c>
      <c r="K193" s="16" t="str">
        <f t="shared" si="2"/>
        <v>161+ Wh/km</v>
      </c>
      <c r="L193" s="16">
        <v>520</v>
      </c>
      <c r="M193" s="16" t="str">
        <f>IF(electric_vehicles_spec_2025_csv[[#This Row],[range_km]]&lt;=200, "0–200 km",IF(electric_vehicles_spec_2025_csv[[#This Row],[range_km]]&lt;=400, "201–400 km", "401+ km"))</f>
        <v>401+ km</v>
      </c>
      <c r="N193" s="16">
        <v>4.2</v>
      </c>
      <c r="O193" s="16" t="str">
        <f>IF(electric_vehicles_spec_2025_csv[[#This Row],[acceleration_0_100_s]]&lt;4,"0–3.9 s",IF(electric_vehicles_spec_2025_csv[[#This Row],[acceleration_0_100_s]]&lt;6,"4.0–5.9 s",IF(electric_vehicles_spec_2025_csv[[#This Row],[acceleration_0_100_s]]&lt;8,"6.0–7.9 s","8.0+ s")))</f>
        <v>4.0–5.9 s</v>
      </c>
      <c r="P193" s="16">
        <v>240</v>
      </c>
      <c r="Q193" s="16" t="str">
        <f>IF(electric_vehicles_spec_2025_csv[[#This Row],[fast_charging_power_kw_dc]]&lt;50,"0–49 kW",IF(electric_vehicles_spec_2025_csv[[#This Row],[fast_charging_power_kw_dc]]&lt;100,"50–99 kW",IF(electric_vehicles_spec_2025_csv[[#This Row],[fast_charging_power_kw_dc]]&lt;150,"100–149 kW","150+ kW")))</f>
        <v>150+ kW</v>
      </c>
      <c r="R193" s="16" t="s">
        <v>25</v>
      </c>
      <c r="S193" s="16">
        <v>2250</v>
      </c>
      <c r="T193" s="16" t="s">
        <v>528</v>
      </c>
      <c r="U193" s="16">
        <v>5</v>
      </c>
      <c r="V193" s="16" t="s">
        <v>70</v>
      </c>
      <c r="W193" s="16" t="s">
        <v>124</v>
      </c>
      <c r="X193" s="16">
        <v>5139</v>
      </c>
      <c r="Y193" s="16">
        <v>2005</v>
      </c>
      <c r="Z193" s="16">
        <v>1464</v>
      </c>
      <c r="AA193" s="16" t="s">
        <v>73</v>
      </c>
      <c r="AB193" s="16" t="s">
        <v>529</v>
      </c>
    </row>
    <row r="194" spans="1:28" x14ac:dyDescent="0.3">
      <c r="A194" s="16" t="s">
        <v>519</v>
      </c>
      <c r="B194" s="16" t="s">
        <v>530</v>
      </c>
      <c r="C194" s="16">
        <v>256</v>
      </c>
      <c r="D19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4" s="16">
        <v>98.9</v>
      </c>
      <c r="F194" s="16" t="str">
        <f>IF(electric_vehicles_spec_2025_csv[[#This Row],[battery_capacity_kWh]]&lt;=30, "0–30 kWh", IF(electric_vehicles_spec_2025_csv[[#This Row],[battery_capacity_kWh]]&lt;=60, "31–60 kWh", "61+ kWh"))</f>
        <v>61+ kWh</v>
      </c>
      <c r="G194" s="16" t="s">
        <v>24</v>
      </c>
      <c r="H194" s="16"/>
      <c r="I194" s="16">
        <v>985</v>
      </c>
      <c r="J194" s="16">
        <v>227</v>
      </c>
      <c r="K194" s="16" t="str">
        <f t="shared" ref="K194:K257" si="3">IF(J194&lt;=130,"0–130 Wh/km",IF(J194&lt;=160,"131–160 Wh/km","161+ Wh/km"))</f>
        <v>161+ Wh/km</v>
      </c>
      <c r="L194" s="16">
        <v>465</v>
      </c>
      <c r="M194" s="16" t="str">
        <f>IF(electric_vehicles_spec_2025_csv[[#This Row],[range_km]]&lt;=200, "0–200 km",IF(electric_vehicles_spec_2025_csv[[#This Row],[range_km]]&lt;=400, "201–400 km", "401+ km"))</f>
        <v>401+ km</v>
      </c>
      <c r="N194" s="16">
        <v>2.8</v>
      </c>
      <c r="O194" s="16" t="str">
        <f>IF(electric_vehicles_spec_2025_csv[[#This Row],[acceleration_0_100_s]]&lt;4,"0–3.9 s",IF(electric_vehicles_spec_2025_csv[[#This Row],[acceleration_0_100_s]]&lt;6,"4.0–5.9 s",IF(electric_vehicles_spec_2025_csv[[#This Row],[acceleration_0_100_s]]&lt;8,"6.0–7.9 s","8.0+ s")))</f>
        <v>0–3.9 s</v>
      </c>
      <c r="P194" s="16">
        <v>240</v>
      </c>
      <c r="Q194" s="16" t="str">
        <f>IF(electric_vehicles_spec_2025_csv[[#This Row],[fast_charging_power_kw_dc]]&lt;50,"0–49 kW",IF(electric_vehicles_spec_2025_csv[[#This Row],[fast_charging_power_kw_dc]]&lt;100,"50–99 kW",IF(electric_vehicles_spec_2025_csv[[#This Row],[fast_charging_power_kw_dc]]&lt;150,"100–149 kW","150+ kW")))</f>
        <v>150+ kW</v>
      </c>
      <c r="R194" s="16" t="s">
        <v>25</v>
      </c>
      <c r="S194" s="16">
        <v>1225</v>
      </c>
      <c r="T194" s="16" t="s">
        <v>528</v>
      </c>
      <c r="U194" s="16">
        <v>5</v>
      </c>
      <c r="V194" s="16" t="s">
        <v>70</v>
      </c>
      <c r="W194" s="16" t="s">
        <v>124</v>
      </c>
      <c r="X194" s="16">
        <v>5139</v>
      </c>
      <c r="Y194" s="16">
        <v>2005</v>
      </c>
      <c r="Z194" s="16">
        <v>1464</v>
      </c>
      <c r="AA194" s="16" t="s">
        <v>73</v>
      </c>
      <c r="AB194" s="16" t="s">
        <v>531</v>
      </c>
    </row>
    <row r="195" spans="1:28" x14ac:dyDescent="0.3">
      <c r="A195" s="16" t="s">
        <v>519</v>
      </c>
      <c r="B195" s="16" t="s">
        <v>532</v>
      </c>
      <c r="C195" s="16">
        <v>250</v>
      </c>
      <c r="D19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5" s="16">
        <v>98.9</v>
      </c>
      <c r="F195" s="16" t="str">
        <f>IF(electric_vehicles_spec_2025_csv[[#This Row],[battery_capacity_kWh]]&lt;=30, "0–30 kWh", IF(electric_vehicles_spec_2025_csv[[#This Row],[battery_capacity_kWh]]&lt;=60, "31–60 kWh", "61+ kWh"))</f>
        <v>61+ kWh</v>
      </c>
      <c r="G195" s="16" t="s">
        <v>24</v>
      </c>
      <c r="H195" s="16"/>
      <c r="I195" s="16">
        <v>710</v>
      </c>
      <c r="J195" s="16">
        <v>198</v>
      </c>
      <c r="K195" s="16" t="str">
        <f t="shared" si="3"/>
        <v>161+ Wh/km</v>
      </c>
      <c r="L195" s="16">
        <v>520</v>
      </c>
      <c r="M195" s="16" t="str">
        <f>IF(electric_vehicles_spec_2025_csv[[#This Row],[range_km]]&lt;=200, "0–200 km",IF(electric_vehicles_spec_2025_csv[[#This Row],[range_km]]&lt;=400, "201–400 km", "401+ km"))</f>
        <v>401+ km</v>
      </c>
      <c r="N195" s="16">
        <v>4.2</v>
      </c>
      <c r="O195" s="16" t="str">
        <f>IF(electric_vehicles_spec_2025_csv[[#This Row],[acceleration_0_100_s]]&lt;4,"0–3.9 s",IF(electric_vehicles_spec_2025_csv[[#This Row],[acceleration_0_100_s]]&lt;6,"4.0–5.9 s",IF(electric_vehicles_spec_2025_csv[[#This Row],[acceleration_0_100_s]]&lt;8,"6.0–7.9 s","8.0+ s")))</f>
        <v>4.0–5.9 s</v>
      </c>
      <c r="P195" s="16">
        <v>240</v>
      </c>
      <c r="Q195" s="16" t="str">
        <f>IF(electric_vehicles_spec_2025_csv[[#This Row],[fast_charging_power_kw_dc]]&lt;50,"0–49 kW",IF(electric_vehicles_spec_2025_csv[[#This Row],[fast_charging_power_kw_dc]]&lt;100,"50–99 kW",IF(electric_vehicles_spec_2025_csv[[#This Row],[fast_charging_power_kw_dc]]&lt;150,"100–149 kW","150+ kW")))</f>
        <v>150+ kW</v>
      </c>
      <c r="R195" s="16" t="s">
        <v>25</v>
      </c>
      <c r="S195" s="16">
        <v>2250</v>
      </c>
      <c r="T195" s="16" t="s">
        <v>528</v>
      </c>
      <c r="U195" s="16">
        <v>5</v>
      </c>
      <c r="V195" s="16" t="s">
        <v>70</v>
      </c>
      <c r="W195" s="16" t="s">
        <v>124</v>
      </c>
      <c r="X195" s="16">
        <v>5139</v>
      </c>
      <c r="Y195" s="16">
        <v>2005</v>
      </c>
      <c r="Z195" s="16">
        <v>1464</v>
      </c>
      <c r="AA195" s="16" t="s">
        <v>73</v>
      </c>
      <c r="AB195" s="16" t="s">
        <v>533</v>
      </c>
    </row>
    <row r="196" spans="1:28" x14ac:dyDescent="0.3">
      <c r="A196" s="16" t="s">
        <v>534</v>
      </c>
      <c r="B196" s="16" t="s">
        <v>535</v>
      </c>
      <c r="C196" s="16">
        <v>270</v>
      </c>
      <c r="D19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6" s="16">
        <v>112</v>
      </c>
      <c r="F196" s="16" t="str">
        <f>IF(electric_vehicles_spec_2025_csv[[#This Row],[battery_capacity_kWh]]&lt;=30, "0–30 kWh", IF(electric_vehicles_spec_2025_csv[[#This Row],[battery_capacity_kWh]]&lt;=60, "31–60 kWh", "61+ kWh"))</f>
        <v>61+ kWh</v>
      </c>
      <c r="G196" s="16" t="s">
        <v>24</v>
      </c>
      <c r="H196" s="16">
        <v>6600</v>
      </c>
      <c r="I196" s="16">
        <v>1200</v>
      </c>
      <c r="J196" s="16">
        <v>143</v>
      </c>
      <c r="K196" s="16" t="str">
        <f t="shared" si="3"/>
        <v>131–160 Wh/km</v>
      </c>
      <c r="L196" s="16">
        <v>665</v>
      </c>
      <c r="M196" s="16" t="str">
        <f>IF(electric_vehicles_spec_2025_csv[[#This Row],[range_km]]&lt;=200, "0–200 km",IF(electric_vehicles_spec_2025_csv[[#This Row],[range_km]]&lt;=400, "201–400 km", "401+ km"))</f>
        <v>401+ km</v>
      </c>
      <c r="N196" s="16">
        <v>3</v>
      </c>
      <c r="O196" s="16" t="str">
        <f>IF(electric_vehicles_spec_2025_csv[[#This Row],[acceleration_0_100_s]]&lt;4,"0–3.9 s",IF(electric_vehicles_spec_2025_csv[[#This Row],[acceleration_0_100_s]]&lt;6,"4.0–5.9 s",IF(electric_vehicles_spec_2025_csv[[#This Row],[acceleration_0_100_s]]&lt;8,"6.0–7.9 s","8.0+ s")))</f>
        <v>0–3.9 s</v>
      </c>
      <c r="P196" s="16">
        <v>184</v>
      </c>
      <c r="Q196" s="16" t="str">
        <f>IF(electric_vehicles_spec_2025_csv[[#This Row],[fast_charging_power_kw_dc]]&lt;50,"0–49 kW",IF(electric_vehicles_spec_2025_csv[[#This Row],[fast_charging_power_kw_dc]]&lt;100,"50–99 kW",IF(electric_vehicles_spec_2025_csv[[#This Row],[fast_charging_power_kw_dc]]&lt;150,"100–149 kW","150+ kW")))</f>
        <v>150+ kW</v>
      </c>
      <c r="R196" s="16" t="s">
        <v>25</v>
      </c>
      <c r="S196" s="16">
        <v>0</v>
      </c>
      <c r="T196" s="16" t="s">
        <v>536</v>
      </c>
      <c r="U196" s="16">
        <v>5</v>
      </c>
      <c r="V196" s="16" t="s">
        <v>70</v>
      </c>
      <c r="W196" s="16" t="s">
        <v>124</v>
      </c>
      <c r="X196" s="16">
        <v>4975</v>
      </c>
      <c r="Y196" s="16">
        <v>1939</v>
      </c>
      <c r="Z196" s="16">
        <v>1410</v>
      </c>
      <c r="AA196" s="16" t="s">
        <v>125</v>
      </c>
      <c r="AB196" s="16" t="s">
        <v>537</v>
      </c>
    </row>
    <row r="197" spans="1:28" x14ac:dyDescent="0.3">
      <c r="A197" s="16" t="s">
        <v>534</v>
      </c>
      <c r="B197" s="16" t="s">
        <v>538</v>
      </c>
      <c r="C197" s="16">
        <v>200</v>
      </c>
      <c r="D19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197" s="16">
        <v>92</v>
      </c>
      <c r="F197" s="16" t="str">
        <f>IF(electric_vehicles_spec_2025_csv[[#This Row],[battery_capacity_kWh]]&lt;=30, "0–30 kWh", IF(electric_vehicles_spec_2025_csv[[#This Row],[battery_capacity_kWh]]&lt;=60, "31–60 kWh", "61+ kWh"))</f>
        <v>61+ kWh</v>
      </c>
      <c r="G197" s="16" t="s">
        <v>24</v>
      </c>
      <c r="H197" s="16">
        <v>5400</v>
      </c>
      <c r="I197" s="16"/>
      <c r="J197" s="16">
        <v>130</v>
      </c>
      <c r="K197" s="16" t="str">
        <f t="shared" si="3"/>
        <v>0–130 Wh/km</v>
      </c>
      <c r="L197" s="16">
        <v>565</v>
      </c>
      <c r="M197" s="16" t="str">
        <f>IF(electric_vehicles_spec_2025_csv[[#This Row],[range_km]]&lt;=200, "0–200 km",IF(electric_vehicles_spec_2025_csv[[#This Row],[range_km]]&lt;=400, "201–400 km", "401+ km"))</f>
        <v>401+ km</v>
      </c>
      <c r="N197" s="16">
        <v>4.7</v>
      </c>
      <c r="O197" s="16" t="str">
        <f>IF(electric_vehicles_spec_2025_csv[[#This Row],[acceleration_0_100_s]]&lt;4,"0–3.9 s",IF(electric_vehicles_spec_2025_csv[[#This Row],[acceleration_0_100_s]]&lt;6,"4.0–5.9 s",IF(electric_vehicles_spec_2025_csv[[#This Row],[acceleration_0_100_s]]&lt;8,"6.0–7.9 s","8.0+ s")))</f>
        <v>4.0–5.9 s</v>
      </c>
      <c r="P197" s="16">
        <v>160</v>
      </c>
      <c r="Q197" s="16" t="str">
        <f>IF(electric_vehicles_spec_2025_csv[[#This Row],[fast_charging_power_kw_dc]]&lt;50,"0–49 kW",IF(electric_vehicles_spec_2025_csv[[#This Row],[fast_charging_power_kw_dc]]&lt;100,"50–99 kW",IF(electric_vehicles_spec_2025_csv[[#This Row],[fast_charging_power_kw_dc]]&lt;150,"100–149 kW","150+ kW")))</f>
        <v>150+ kW</v>
      </c>
      <c r="R197" s="16" t="s">
        <v>25</v>
      </c>
      <c r="S197" s="16">
        <v>0</v>
      </c>
      <c r="T197" s="16" t="s">
        <v>536</v>
      </c>
      <c r="U197" s="16">
        <v>5</v>
      </c>
      <c r="V197" s="16" t="s">
        <v>63</v>
      </c>
      <c r="W197" s="16" t="s">
        <v>124</v>
      </c>
      <c r="X197" s="16">
        <v>4975</v>
      </c>
      <c r="Y197" s="16">
        <v>1939</v>
      </c>
      <c r="Z197" s="16">
        <v>1410</v>
      </c>
      <c r="AA197" s="16" t="s">
        <v>125</v>
      </c>
      <c r="AB197" s="16" t="s">
        <v>539</v>
      </c>
    </row>
    <row r="198" spans="1:28" x14ac:dyDescent="0.3">
      <c r="A198" s="16" t="s">
        <v>534</v>
      </c>
      <c r="B198" s="16" t="s">
        <v>540</v>
      </c>
      <c r="C198" s="16">
        <v>250</v>
      </c>
      <c r="D19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198" s="16">
        <v>92</v>
      </c>
      <c r="F198" s="16" t="str">
        <f>IF(electric_vehicles_spec_2025_csv[[#This Row],[battery_capacity_kWh]]&lt;=30, "0–30 kWh", IF(electric_vehicles_spec_2025_csv[[#This Row],[battery_capacity_kWh]]&lt;=60, "31–60 kWh", "61+ kWh"))</f>
        <v>61+ kWh</v>
      </c>
      <c r="G198" s="16" t="s">
        <v>24</v>
      </c>
      <c r="H198" s="16">
        <v>5400</v>
      </c>
      <c r="I198" s="16"/>
      <c r="J198" s="16">
        <v>142</v>
      </c>
      <c r="K198" s="16" t="str">
        <f t="shared" si="3"/>
        <v>131–160 Wh/km</v>
      </c>
      <c r="L198" s="16">
        <v>580</v>
      </c>
      <c r="M198" s="16" t="str">
        <f>IF(electric_vehicles_spec_2025_csv[[#This Row],[range_km]]&lt;=200, "0–200 km",IF(electric_vehicles_spec_2025_csv[[#This Row],[range_km]]&lt;=400, "201–400 km", "401+ km"))</f>
        <v>401+ km</v>
      </c>
      <c r="N198" s="16">
        <v>3.2</v>
      </c>
      <c r="O198" s="16" t="str">
        <f>IF(electric_vehicles_spec_2025_csv[[#This Row],[acceleration_0_100_s]]&lt;4,"0–3.9 s",IF(electric_vehicles_spec_2025_csv[[#This Row],[acceleration_0_100_s]]&lt;6,"4.0–5.9 s",IF(electric_vehicles_spec_2025_csv[[#This Row],[acceleration_0_100_s]]&lt;8,"6.0–7.9 s","8.0+ s")))</f>
        <v>0–3.9 s</v>
      </c>
      <c r="P198" s="16">
        <v>160</v>
      </c>
      <c r="Q198" s="16" t="str">
        <f>IF(electric_vehicles_spec_2025_csv[[#This Row],[fast_charging_power_kw_dc]]&lt;50,"0–49 kW",IF(electric_vehicles_spec_2025_csv[[#This Row],[fast_charging_power_kw_dc]]&lt;100,"50–99 kW",IF(electric_vehicles_spec_2025_csv[[#This Row],[fast_charging_power_kw_dc]]&lt;150,"100–149 kW","150+ kW")))</f>
        <v>150+ kW</v>
      </c>
      <c r="R198" s="16" t="s">
        <v>25</v>
      </c>
      <c r="S198" s="16">
        <v>0</v>
      </c>
      <c r="T198" s="16" t="s">
        <v>536</v>
      </c>
      <c r="U198" s="16">
        <v>5</v>
      </c>
      <c r="V198" s="16" t="s">
        <v>70</v>
      </c>
      <c r="W198" s="16" t="s">
        <v>124</v>
      </c>
      <c r="X198" s="16">
        <v>4975</v>
      </c>
      <c r="Y198" s="16">
        <v>1939</v>
      </c>
      <c r="Z198" s="16">
        <v>1410</v>
      </c>
      <c r="AA198" s="16" t="s">
        <v>125</v>
      </c>
      <c r="AB198" s="16" t="s">
        <v>541</v>
      </c>
    </row>
    <row r="199" spans="1:28" x14ac:dyDescent="0.3">
      <c r="A199" s="16" t="s">
        <v>542</v>
      </c>
      <c r="B199" s="16" t="s">
        <v>543</v>
      </c>
      <c r="C199" s="16">
        <v>180</v>
      </c>
      <c r="D19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199" s="16">
        <v>65</v>
      </c>
      <c r="F199" s="16" t="str">
        <f>IF(electric_vehicles_spec_2025_csv[[#This Row],[battery_capacity_kWh]]&lt;=30, "0–30 kWh", IF(electric_vehicles_spec_2025_csv[[#This Row],[battery_capacity_kWh]]&lt;=60, "31–60 kWh", "61+ kWh"))</f>
        <v>61+ kWh</v>
      </c>
      <c r="G199" s="16" t="s">
        <v>24</v>
      </c>
      <c r="H199" s="16"/>
      <c r="I199" s="16">
        <v>343</v>
      </c>
      <c r="J199" s="16">
        <v>149</v>
      </c>
      <c r="K199" s="16" t="str">
        <f t="shared" si="3"/>
        <v>131–160 Wh/km</v>
      </c>
      <c r="L199" s="16">
        <v>370</v>
      </c>
      <c r="M199" s="16" t="str">
        <f>IF(electric_vehicles_spec_2025_csv[[#This Row],[range_km]]&lt;=200, "0–200 km",IF(electric_vehicles_spec_2025_csv[[#This Row],[range_km]]&lt;=400, "201–400 km", "401+ km"))</f>
        <v>201–400 km</v>
      </c>
      <c r="N199" s="16">
        <v>5.5</v>
      </c>
      <c r="O199" s="16" t="str">
        <f>IF(electric_vehicles_spec_2025_csv[[#This Row],[acceleration_0_100_s]]&lt;4,"0–3.9 s",IF(electric_vehicles_spec_2025_csv[[#This Row],[acceleration_0_100_s]]&lt;6,"4.0–5.9 s",IF(electric_vehicles_spec_2025_csv[[#This Row],[acceleration_0_100_s]]&lt;8,"6.0–7.9 s","8.0+ s")))</f>
        <v>4.0–5.9 s</v>
      </c>
      <c r="P199" s="16">
        <v>90</v>
      </c>
      <c r="Q199" s="16" t="str">
        <f>IF(electric_vehicles_spec_2025_csv[[#This Row],[fast_charging_power_kw_dc]]&lt;50,"0–49 kW",IF(electric_vehicles_spec_2025_csv[[#This Row],[fast_charging_power_kw_dc]]&lt;100,"50–99 kW",IF(electric_vehicles_spec_2025_csv[[#This Row],[fast_charging_power_kw_dc]]&lt;150,"100–149 kW","150+ kW")))</f>
        <v>50–99 kW</v>
      </c>
      <c r="R199" s="16" t="s">
        <v>25</v>
      </c>
      <c r="S199" s="16">
        <v>1600</v>
      </c>
      <c r="T199" s="16" t="s">
        <v>544</v>
      </c>
      <c r="U199" s="16">
        <v>5</v>
      </c>
      <c r="V199" s="16" t="s">
        <v>63</v>
      </c>
      <c r="W199" s="16" t="s">
        <v>43</v>
      </c>
      <c r="X199" s="16">
        <v>4460</v>
      </c>
      <c r="Y199" s="16">
        <v>1845</v>
      </c>
      <c r="Z199" s="16">
        <v>1573</v>
      </c>
      <c r="AA199" s="16" t="s">
        <v>36</v>
      </c>
      <c r="AB199" s="16" t="s">
        <v>545</v>
      </c>
    </row>
    <row r="200" spans="1:28" x14ac:dyDescent="0.3">
      <c r="A200" s="16" t="s">
        <v>546</v>
      </c>
      <c r="B200" s="16" t="s">
        <v>547</v>
      </c>
      <c r="C200" s="16">
        <v>200</v>
      </c>
      <c r="D20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00" s="16">
        <v>74.400000000000006</v>
      </c>
      <c r="F200" s="16" t="str">
        <f>IF(electric_vehicles_spec_2025_csv[[#This Row],[battery_capacity_kWh]]&lt;=30, "0–30 kWh", IF(electric_vehicles_spec_2025_csv[[#This Row],[battery_capacity_kWh]]&lt;=60, "31–60 kWh", "61+ kWh"))</f>
        <v>61+ kWh</v>
      </c>
      <c r="G200" s="16" t="s">
        <v>24</v>
      </c>
      <c r="H200" s="16"/>
      <c r="I200" s="16">
        <v>725</v>
      </c>
      <c r="J200" s="16">
        <v>168</v>
      </c>
      <c r="K200" s="16" t="str">
        <f t="shared" si="3"/>
        <v>161+ Wh/km</v>
      </c>
      <c r="L200" s="16">
        <v>395</v>
      </c>
      <c r="M200" s="16" t="str">
        <f>IF(electric_vehicles_spec_2025_csv[[#This Row],[range_km]]&lt;=200, "0–200 km",IF(electric_vehicles_spec_2025_csv[[#This Row],[range_km]]&lt;=400, "201–400 km", "401+ km"))</f>
        <v>201–400 km</v>
      </c>
      <c r="N200" s="16">
        <v>3.2</v>
      </c>
      <c r="O200" s="16" t="str">
        <f>IF(electric_vehicles_spec_2025_csv[[#This Row],[acceleration_0_100_s]]&lt;4,"0–3.9 s",IF(electric_vehicles_spec_2025_csv[[#This Row],[acceleration_0_100_s]]&lt;6,"4.0–5.9 s",IF(electric_vehicles_spec_2025_csv[[#This Row],[acceleration_0_100_s]]&lt;8,"6.0–7.9 s","8.0+ s")))</f>
        <v>0–3.9 s</v>
      </c>
      <c r="P200" s="16">
        <v>85</v>
      </c>
      <c r="Q200" s="16" t="str">
        <f>IF(electric_vehicles_spec_2025_csv[[#This Row],[fast_charging_power_kw_dc]]&lt;50,"0–49 kW",IF(electric_vehicles_spec_2025_csv[[#This Row],[fast_charging_power_kw_dc]]&lt;100,"50–99 kW",IF(electric_vehicles_spec_2025_csv[[#This Row],[fast_charging_power_kw_dc]]&lt;150,"100–149 kW","150+ kW")))</f>
        <v>50–99 kW</v>
      </c>
      <c r="R200" s="16" t="s">
        <v>25</v>
      </c>
      <c r="S200" s="16"/>
      <c r="T200" s="16" t="s">
        <v>548</v>
      </c>
      <c r="U200" s="16">
        <v>2</v>
      </c>
      <c r="V200" s="16" t="s">
        <v>70</v>
      </c>
      <c r="W200" s="16" t="s">
        <v>549</v>
      </c>
      <c r="X200" s="16">
        <v>4535</v>
      </c>
      <c r="Y200" s="16">
        <v>1913</v>
      </c>
      <c r="Z200" s="16">
        <v>1329</v>
      </c>
      <c r="AA200" s="16" t="s">
        <v>310</v>
      </c>
      <c r="AB200" s="16" t="s">
        <v>550</v>
      </c>
    </row>
    <row r="201" spans="1:28" x14ac:dyDescent="0.3">
      <c r="A201" s="16" t="s">
        <v>546</v>
      </c>
      <c r="B201" s="16" t="s">
        <v>551</v>
      </c>
      <c r="C201" s="16">
        <v>195</v>
      </c>
      <c r="D20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01" s="16">
        <v>74.400000000000006</v>
      </c>
      <c r="F201" s="16" t="str">
        <f>IF(electric_vehicles_spec_2025_csv[[#This Row],[battery_capacity_kWh]]&lt;=30, "0–30 kWh", IF(electric_vehicles_spec_2025_csv[[#This Row],[battery_capacity_kWh]]&lt;=60, "31–60 kWh", "61+ kWh"))</f>
        <v>61+ kWh</v>
      </c>
      <c r="G201" s="16" t="s">
        <v>24</v>
      </c>
      <c r="H201" s="16"/>
      <c r="I201" s="16">
        <v>475</v>
      </c>
      <c r="J201" s="16">
        <v>146</v>
      </c>
      <c r="K201" s="16" t="str">
        <f t="shared" si="3"/>
        <v>131–160 Wh/km</v>
      </c>
      <c r="L201" s="16">
        <v>425</v>
      </c>
      <c r="M201" s="16" t="str">
        <f>IF(electric_vehicles_spec_2025_csv[[#This Row],[range_km]]&lt;=200, "0–200 km",IF(electric_vehicles_spec_2025_csv[[#This Row],[range_km]]&lt;=400, "201–400 km", "401+ km"))</f>
        <v>401+ km</v>
      </c>
      <c r="N201" s="16">
        <v>5</v>
      </c>
      <c r="O201" s="16" t="str">
        <f>IF(electric_vehicles_spec_2025_csv[[#This Row],[acceleration_0_100_s]]&lt;4,"0–3.9 s",IF(electric_vehicles_spec_2025_csv[[#This Row],[acceleration_0_100_s]]&lt;6,"4.0–5.9 s",IF(electric_vehicles_spec_2025_csv[[#This Row],[acceleration_0_100_s]]&lt;8,"6.0–7.9 s","8.0+ s")))</f>
        <v>4.0–5.9 s</v>
      </c>
      <c r="P201" s="16">
        <v>85</v>
      </c>
      <c r="Q201" s="16" t="str">
        <f>IF(electric_vehicles_spec_2025_csv[[#This Row],[fast_charging_power_kw_dc]]&lt;50,"0–49 kW",IF(electric_vehicles_spec_2025_csv[[#This Row],[fast_charging_power_kw_dc]]&lt;100,"50–99 kW",IF(electric_vehicles_spec_2025_csv[[#This Row],[fast_charging_power_kw_dc]]&lt;150,"100–149 kW","150+ kW")))</f>
        <v>50–99 kW</v>
      </c>
      <c r="R201" s="16" t="s">
        <v>25</v>
      </c>
      <c r="S201" s="16"/>
      <c r="T201" s="16" t="s">
        <v>548</v>
      </c>
      <c r="U201" s="16">
        <v>2</v>
      </c>
      <c r="V201" s="16" t="s">
        <v>63</v>
      </c>
      <c r="W201" s="16" t="s">
        <v>549</v>
      </c>
      <c r="X201" s="16">
        <v>4535</v>
      </c>
      <c r="Y201" s="16">
        <v>1913</v>
      </c>
      <c r="Z201" s="16">
        <v>1329</v>
      </c>
      <c r="AA201" s="16" t="s">
        <v>310</v>
      </c>
      <c r="AB201" s="16" t="s">
        <v>552</v>
      </c>
    </row>
    <row r="202" spans="1:28" x14ac:dyDescent="0.3">
      <c r="A202" s="16" t="s">
        <v>546</v>
      </c>
      <c r="B202" s="16" t="s">
        <v>553</v>
      </c>
      <c r="C202" s="16">
        <v>160</v>
      </c>
      <c r="D20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02" s="16">
        <v>50.8</v>
      </c>
      <c r="F202" s="16" t="str">
        <f>IF(electric_vehicles_spec_2025_csv[[#This Row],[battery_capacity_kWh]]&lt;=30, "0–30 kWh", IF(electric_vehicles_spec_2025_csv[[#This Row],[battery_capacity_kWh]]&lt;=60, "31–60 kWh", "61+ kWh"))</f>
        <v>31–60 kWh</v>
      </c>
      <c r="G202" s="16" t="s">
        <v>24</v>
      </c>
      <c r="H202" s="16">
        <v>104</v>
      </c>
      <c r="I202" s="16">
        <v>250</v>
      </c>
      <c r="J202" s="16">
        <v>145</v>
      </c>
      <c r="K202" s="16" t="str">
        <f t="shared" si="3"/>
        <v>131–160 Wh/km</v>
      </c>
      <c r="L202" s="16">
        <v>300</v>
      </c>
      <c r="M202" s="16" t="str">
        <f>IF(electric_vehicles_spec_2025_csv[[#This Row],[range_km]]&lt;=200, "0–200 km",IF(electric_vehicles_spec_2025_csv[[#This Row],[range_km]]&lt;=400, "201–400 km", "401+ km"))</f>
        <v>201–400 km</v>
      </c>
      <c r="N202" s="16">
        <v>7.7</v>
      </c>
      <c r="O202" s="16" t="str">
        <f>IF(electric_vehicles_spec_2025_csv[[#This Row],[acceleration_0_100_s]]&lt;4,"0–3.9 s",IF(electric_vehicles_spec_2025_csv[[#This Row],[acceleration_0_100_s]]&lt;6,"4.0–5.9 s",IF(electric_vehicles_spec_2025_csv[[#This Row],[acceleration_0_100_s]]&lt;8,"6.0–7.9 s","8.0+ s")))</f>
        <v>6.0–7.9 s</v>
      </c>
      <c r="P202" s="16">
        <v>68</v>
      </c>
      <c r="Q202" s="16" t="str">
        <f>IF(electric_vehicles_spec_2025_csv[[#This Row],[fast_charging_power_kw_dc]]&lt;50,"0–49 kW",IF(electric_vehicles_spec_2025_csv[[#This Row],[fast_charging_power_kw_dc]]&lt;100,"50–99 kW",IF(electric_vehicles_spec_2025_csv[[#This Row],[fast_charging_power_kw_dc]]&lt;150,"100–149 kW","150+ kW")))</f>
        <v>50–99 kW</v>
      </c>
      <c r="R202" s="16" t="s">
        <v>25</v>
      </c>
      <c r="S202" s="16">
        <v>500</v>
      </c>
      <c r="T202" s="16" t="s">
        <v>554</v>
      </c>
      <c r="U202" s="16">
        <v>5</v>
      </c>
      <c r="V202" s="16" t="s">
        <v>63</v>
      </c>
      <c r="W202" s="16" t="s">
        <v>190</v>
      </c>
      <c r="X202" s="16">
        <v>4287</v>
      </c>
      <c r="Y202" s="16">
        <v>1836</v>
      </c>
      <c r="Z202" s="16">
        <v>1504</v>
      </c>
      <c r="AA202" s="16" t="s">
        <v>29</v>
      </c>
      <c r="AB202" s="16" t="s">
        <v>555</v>
      </c>
    </row>
    <row r="203" spans="1:28" x14ac:dyDescent="0.3">
      <c r="A203" s="16" t="s">
        <v>546</v>
      </c>
      <c r="B203" s="16" t="s">
        <v>556</v>
      </c>
      <c r="C203" s="16">
        <v>160</v>
      </c>
      <c r="D20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03" s="16">
        <v>61.7</v>
      </c>
      <c r="F203" s="16" t="str">
        <f>IF(electric_vehicles_spec_2025_csv[[#This Row],[battery_capacity_kWh]]&lt;=30, "0–30 kWh", IF(electric_vehicles_spec_2025_csv[[#This Row],[battery_capacity_kWh]]&lt;=60, "31–60 kWh", "61+ kWh"))</f>
        <v>61+ kWh</v>
      </c>
      <c r="G203" s="16" t="s">
        <v>24</v>
      </c>
      <c r="H203" s="16">
        <v>104</v>
      </c>
      <c r="I203" s="16">
        <v>250</v>
      </c>
      <c r="J203" s="16">
        <v>142</v>
      </c>
      <c r="K203" s="16" t="str">
        <f t="shared" si="3"/>
        <v>131–160 Wh/km</v>
      </c>
      <c r="L203" s="16">
        <v>360</v>
      </c>
      <c r="M203" s="16" t="str">
        <f>IF(electric_vehicles_spec_2025_csv[[#This Row],[range_km]]&lt;=200, "0–200 km",IF(electric_vehicles_spec_2025_csv[[#This Row],[range_km]]&lt;=400, "201–400 km", "401+ km"))</f>
        <v>201–400 km</v>
      </c>
      <c r="N203" s="16">
        <v>7.9</v>
      </c>
      <c r="O203" s="16" t="str">
        <f>IF(electric_vehicles_spec_2025_csv[[#This Row],[acceleration_0_100_s]]&lt;4,"0–3.9 s",IF(electric_vehicles_spec_2025_csv[[#This Row],[acceleration_0_100_s]]&lt;6,"4.0–5.9 s",IF(electric_vehicles_spec_2025_csv[[#This Row],[acceleration_0_100_s]]&lt;8,"6.0–7.9 s","8.0+ s")))</f>
        <v>6.0–7.9 s</v>
      </c>
      <c r="P203" s="16">
        <v>116</v>
      </c>
      <c r="Q203" s="16" t="str">
        <f>IF(electric_vehicles_spec_2025_csv[[#This Row],[fast_charging_power_kw_dc]]&lt;50,"0–49 kW",IF(electric_vehicles_spec_2025_csv[[#This Row],[fast_charging_power_kw_dc]]&lt;100,"50–99 kW",IF(electric_vehicles_spec_2025_csv[[#This Row],[fast_charging_power_kw_dc]]&lt;150,"100–149 kW","150+ kW")))</f>
        <v>100–149 kW</v>
      </c>
      <c r="R203" s="16" t="s">
        <v>25</v>
      </c>
      <c r="S203" s="16">
        <v>500</v>
      </c>
      <c r="T203" s="16" t="s">
        <v>554</v>
      </c>
      <c r="U203" s="16">
        <v>5</v>
      </c>
      <c r="V203" s="16" t="s">
        <v>63</v>
      </c>
      <c r="W203" s="16" t="s">
        <v>190</v>
      </c>
      <c r="X203" s="16">
        <v>4287</v>
      </c>
      <c r="Y203" s="16">
        <v>1836</v>
      </c>
      <c r="Z203" s="16">
        <v>1504</v>
      </c>
      <c r="AA203" s="16" t="s">
        <v>29</v>
      </c>
      <c r="AB203" s="16" t="s">
        <v>557</v>
      </c>
    </row>
    <row r="204" spans="1:28" x14ac:dyDescent="0.3">
      <c r="A204" s="16" t="s">
        <v>546</v>
      </c>
      <c r="B204" s="16" t="s">
        <v>558</v>
      </c>
      <c r="C204" s="16">
        <v>180</v>
      </c>
      <c r="D20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04" s="16">
        <v>74.400000000000006</v>
      </c>
      <c r="F204" s="16" t="str">
        <f>IF(electric_vehicles_spec_2025_csv[[#This Row],[battery_capacity_kWh]]&lt;=30, "0–30 kWh", IF(electric_vehicles_spec_2025_csv[[#This Row],[battery_capacity_kWh]]&lt;=60, "31–60 kWh", "61+ kWh"))</f>
        <v>61+ kWh</v>
      </c>
      <c r="G204" s="16" t="s">
        <v>24</v>
      </c>
      <c r="H204" s="16"/>
      <c r="I204" s="16">
        <v>350</v>
      </c>
      <c r="J204" s="16">
        <v>143</v>
      </c>
      <c r="K204" s="16" t="str">
        <f t="shared" si="3"/>
        <v>131–160 Wh/km</v>
      </c>
      <c r="L204" s="16">
        <v>425</v>
      </c>
      <c r="M204" s="16" t="str">
        <f>IF(electric_vehicles_spec_2025_csv[[#This Row],[range_km]]&lt;=200, "0–200 km",IF(electric_vehicles_spec_2025_csv[[#This Row],[range_km]]&lt;=400, "201–400 km", "401+ km"))</f>
        <v>401+ km</v>
      </c>
      <c r="N204" s="16">
        <v>6.5</v>
      </c>
      <c r="O204" s="16" t="str">
        <f>IF(electric_vehicles_spec_2025_csv[[#This Row],[acceleration_0_100_s]]&lt;4,"0–3.9 s",IF(electric_vehicles_spec_2025_csv[[#This Row],[acceleration_0_100_s]]&lt;6,"4.0–5.9 s",IF(electric_vehicles_spec_2025_csv[[#This Row],[acceleration_0_100_s]]&lt;8,"6.0–7.9 s","8.0+ s")))</f>
        <v>6.0–7.9 s</v>
      </c>
      <c r="P204" s="16">
        <v>110</v>
      </c>
      <c r="Q204" s="16" t="str">
        <f>IF(electric_vehicles_spec_2025_csv[[#This Row],[fast_charging_power_kw_dc]]&lt;50,"0–49 kW",IF(electric_vehicles_spec_2025_csv[[#This Row],[fast_charging_power_kw_dc]]&lt;100,"50–99 kW",IF(electric_vehicles_spec_2025_csv[[#This Row],[fast_charging_power_kw_dc]]&lt;150,"100–149 kW","150+ kW")))</f>
        <v>100–149 kW</v>
      </c>
      <c r="R204" s="16" t="s">
        <v>25</v>
      </c>
      <c r="S204" s="16">
        <v>500</v>
      </c>
      <c r="T204" s="16" t="s">
        <v>554</v>
      </c>
      <c r="U204" s="16">
        <v>5</v>
      </c>
      <c r="V204" s="16" t="s">
        <v>63</v>
      </c>
      <c r="W204" s="16" t="s">
        <v>190</v>
      </c>
      <c r="X204" s="16">
        <v>4287</v>
      </c>
      <c r="Y204" s="16">
        <v>1836</v>
      </c>
      <c r="Z204" s="16">
        <v>1516</v>
      </c>
      <c r="AA204" s="16" t="s">
        <v>29</v>
      </c>
      <c r="AB204" s="16" t="s">
        <v>559</v>
      </c>
    </row>
    <row r="205" spans="1:28" x14ac:dyDescent="0.3">
      <c r="A205" s="16" t="s">
        <v>546</v>
      </c>
      <c r="B205" s="16" t="s">
        <v>560</v>
      </c>
      <c r="C205" s="16">
        <v>200</v>
      </c>
      <c r="D20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05" s="16">
        <v>61.7</v>
      </c>
      <c r="F205" s="16" t="str">
        <f>IF(electric_vehicles_spec_2025_csv[[#This Row],[battery_capacity_kWh]]&lt;=30, "0–30 kWh", IF(electric_vehicles_spec_2025_csv[[#This Row],[battery_capacity_kWh]]&lt;=60, "31–60 kWh", "61+ kWh"))</f>
        <v>61+ kWh</v>
      </c>
      <c r="G205" s="16" t="s">
        <v>24</v>
      </c>
      <c r="H205" s="16">
        <v>104</v>
      </c>
      <c r="I205" s="16">
        <v>600</v>
      </c>
      <c r="J205" s="16">
        <v>160</v>
      </c>
      <c r="K205" s="16" t="str">
        <f t="shared" si="3"/>
        <v>131–160 Wh/km</v>
      </c>
      <c r="L205" s="16">
        <v>320</v>
      </c>
      <c r="M205" s="16" t="str">
        <f>IF(electric_vehicles_spec_2025_csv[[#This Row],[range_km]]&lt;=200, "0–200 km",IF(electric_vehicles_spec_2025_csv[[#This Row],[range_km]]&lt;=400, "201–400 km", "401+ km"))</f>
        <v>201–400 km</v>
      </c>
      <c r="N205" s="16">
        <v>3.8</v>
      </c>
      <c r="O205" s="16" t="str">
        <f>IF(electric_vehicles_spec_2025_csv[[#This Row],[acceleration_0_100_s]]&lt;4,"0–3.9 s",IF(electric_vehicles_spec_2025_csv[[#This Row],[acceleration_0_100_s]]&lt;6,"4.0–5.9 s",IF(electric_vehicles_spec_2025_csv[[#This Row],[acceleration_0_100_s]]&lt;8,"6.0–7.9 s","8.0+ s")))</f>
        <v>0–3.9 s</v>
      </c>
      <c r="P205" s="16">
        <v>116</v>
      </c>
      <c r="Q205" s="16" t="str">
        <f>IF(electric_vehicles_spec_2025_csv[[#This Row],[fast_charging_power_kw_dc]]&lt;50,"0–49 kW",IF(electric_vehicles_spec_2025_csv[[#This Row],[fast_charging_power_kw_dc]]&lt;100,"50–99 kW",IF(electric_vehicles_spec_2025_csv[[#This Row],[fast_charging_power_kw_dc]]&lt;150,"100–149 kW","150+ kW")))</f>
        <v>100–149 kW</v>
      </c>
      <c r="R205" s="16" t="s">
        <v>25</v>
      </c>
      <c r="S205" s="16">
        <v>500</v>
      </c>
      <c r="T205" s="16" t="s">
        <v>554</v>
      </c>
      <c r="U205" s="16">
        <v>5</v>
      </c>
      <c r="V205" s="16" t="s">
        <v>70</v>
      </c>
      <c r="W205" s="16" t="s">
        <v>190</v>
      </c>
      <c r="X205" s="16">
        <v>4287</v>
      </c>
      <c r="Y205" s="16">
        <v>1836</v>
      </c>
      <c r="Z205" s="16">
        <v>1516</v>
      </c>
      <c r="AA205" s="16" t="s">
        <v>29</v>
      </c>
      <c r="AB205" s="16" t="s">
        <v>561</v>
      </c>
    </row>
    <row r="206" spans="1:28" x14ac:dyDescent="0.3">
      <c r="A206" s="16" t="s">
        <v>546</v>
      </c>
      <c r="B206" s="16" t="s">
        <v>562</v>
      </c>
      <c r="C206" s="16">
        <v>185</v>
      </c>
      <c r="D20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06" s="16">
        <v>57.4</v>
      </c>
      <c r="F206" s="16" t="str">
        <f>IF(electric_vehicles_spec_2025_csv[[#This Row],[battery_capacity_kWh]]&lt;=30, "0–30 kWh", IF(electric_vehicles_spec_2025_csv[[#This Row],[battery_capacity_kWh]]&lt;=60, "31–60 kWh", "61+ kWh"))</f>
        <v>31–60 kWh</v>
      </c>
      <c r="G206" s="16" t="s">
        <v>24</v>
      </c>
      <c r="H206" s="16"/>
      <c r="I206" s="16">
        <v>280</v>
      </c>
      <c r="J206" s="16">
        <v>151</v>
      </c>
      <c r="K206" s="16" t="str">
        <f t="shared" si="3"/>
        <v>131–160 Wh/km</v>
      </c>
      <c r="L206" s="16">
        <v>335</v>
      </c>
      <c r="M206" s="16" t="str">
        <f>IF(electric_vehicles_spec_2025_csv[[#This Row],[range_km]]&lt;=200, "0–200 km",IF(electric_vehicles_spec_2025_csv[[#This Row],[range_km]]&lt;=400, "201–400 km", "401+ km"))</f>
        <v>201–400 km</v>
      </c>
      <c r="N206" s="16">
        <v>7.7</v>
      </c>
      <c r="O206" s="16" t="str">
        <f>IF(electric_vehicles_spec_2025_csv[[#This Row],[acceleration_0_100_s]]&lt;4,"0–3.9 s",IF(electric_vehicles_spec_2025_csv[[#This Row],[acceleration_0_100_s]]&lt;6,"4.0–5.9 s",IF(electric_vehicles_spec_2025_csv[[#This Row],[acceleration_0_100_s]]&lt;8,"6.0–7.9 s","8.0+ s")))</f>
        <v>6.0–7.9 s</v>
      </c>
      <c r="P206" s="16">
        <v>60</v>
      </c>
      <c r="Q206" s="16" t="str">
        <f>IF(electric_vehicles_spec_2025_csv[[#This Row],[fast_charging_power_kw_dc]]&lt;50,"0–49 kW",IF(electric_vehicles_spec_2025_csv[[#This Row],[fast_charging_power_kw_dc]]&lt;100,"50–99 kW",IF(electric_vehicles_spec_2025_csv[[#This Row],[fast_charging_power_kw_dc]]&lt;150,"100–149 kW","150+ kW")))</f>
        <v>50–99 kW</v>
      </c>
      <c r="R206" s="16" t="s">
        <v>25</v>
      </c>
      <c r="S206" s="16">
        <v>500</v>
      </c>
      <c r="T206" s="16" t="s">
        <v>563</v>
      </c>
      <c r="U206" s="16">
        <v>5</v>
      </c>
      <c r="V206" s="16" t="s">
        <v>27</v>
      </c>
      <c r="W206" s="16" t="s">
        <v>190</v>
      </c>
      <c r="X206" s="16">
        <v>4600</v>
      </c>
      <c r="Y206" s="16">
        <v>1818</v>
      </c>
      <c r="Z206" s="16">
        <v>1543</v>
      </c>
      <c r="AA206" s="16" t="s">
        <v>65</v>
      </c>
      <c r="AB206" s="16" t="s">
        <v>564</v>
      </c>
    </row>
    <row r="207" spans="1:28" x14ac:dyDescent="0.3">
      <c r="A207" s="16" t="s">
        <v>546</v>
      </c>
      <c r="B207" s="16" t="s">
        <v>565</v>
      </c>
      <c r="C207" s="16">
        <v>185</v>
      </c>
      <c r="D20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07" s="16">
        <v>46</v>
      </c>
      <c r="F207" s="16" t="str">
        <f>IF(electric_vehicles_spec_2025_csv[[#This Row],[battery_capacity_kWh]]&lt;=30, "0–30 kWh", IF(electric_vehicles_spec_2025_csv[[#This Row],[battery_capacity_kWh]]&lt;=60, "31–60 kWh", "61+ kWh"))</f>
        <v>31–60 kWh</v>
      </c>
      <c r="G207" s="16" t="s">
        <v>24</v>
      </c>
      <c r="H207" s="16"/>
      <c r="I207" s="16">
        <v>280</v>
      </c>
      <c r="J207" s="16">
        <v>148</v>
      </c>
      <c r="K207" s="16" t="str">
        <f t="shared" si="3"/>
        <v>131–160 Wh/km</v>
      </c>
      <c r="L207" s="16">
        <v>265</v>
      </c>
      <c r="M207" s="16" t="str">
        <f>IF(electric_vehicles_spec_2025_csv[[#This Row],[range_km]]&lt;=200, "0–200 km",IF(electric_vehicles_spec_2025_csv[[#This Row],[range_km]]&lt;=400, "201–400 km", "401+ km"))</f>
        <v>201–400 km</v>
      </c>
      <c r="N207" s="16">
        <v>7.7</v>
      </c>
      <c r="O207" s="16" t="str">
        <f>IF(electric_vehicles_spec_2025_csv[[#This Row],[acceleration_0_100_s]]&lt;4,"0–3.9 s",IF(electric_vehicles_spec_2025_csv[[#This Row],[acceleration_0_100_s]]&lt;6,"4.0–5.9 s",IF(electric_vehicles_spec_2025_csv[[#This Row],[acceleration_0_100_s]]&lt;8,"6.0–7.9 s","8.0+ s")))</f>
        <v>6.0–7.9 s</v>
      </c>
      <c r="P207" s="16">
        <v>53</v>
      </c>
      <c r="Q207" s="16" t="str">
        <f>IF(electric_vehicles_spec_2025_csv[[#This Row],[fast_charging_power_kw_dc]]&lt;50,"0–49 kW",IF(electric_vehicles_spec_2025_csv[[#This Row],[fast_charging_power_kw_dc]]&lt;100,"50–99 kW",IF(electric_vehicles_spec_2025_csv[[#This Row],[fast_charging_power_kw_dc]]&lt;150,"100–149 kW","150+ kW")))</f>
        <v>50–99 kW</v>
      </c>
      <c r="R207" s="16" t="s">
        <v>25</v>
      </c>
      <c r="S207" s="16">
        <v>500</v>
      </c>
      <c r="T207" s="16" t="s">
        <v>563</v>
      </c>
      <c r="U207" s="16">
        <v>5</v>
      </c>
      <c r="V207" s="16" t="s">
        <v>27</v>
      </c>
      <c r="W207" s="16" t="s">
        <v>190</v>
      </c>
      <c r="X207" s="16">
        <v>4600</v>
      </c>
      <c r="Y207" s="16">
        <v>1818</v>
      </c>
      <c r="Z207" s="16">
        <v>1543</v>
      </c>
      <c r="AA207" s="16" t="s">
        <v>65</v>
      </c>
      <c r="AB207" s="16" t="s">
        <v>566</v>
      </c>
    </row>
    <row r="208" spans="1:28" x14ac:dyDescent="0.3">
      <c r="A208" s="16" t="s">
        <v>546</v>
      </c>
      <c r="B208" s="16" t="s">
        <v>567</v>
      </c>
      <c r="C208" s="16">
        <v>170</v>
      </c>
      <c r="D20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08" s="16">
        <v>47.1</v>
      </c>
      <c r="F208" s="16" t="str">
        <f>IF(electric_vehicles_spec_2025_csv[[#This Row],[battery_capacity_kWh]]&lt;=30, "0–30 kWh", IF(electric_vehicles_spec_2025_csv[[#This Row],[battery_capacity_kWh]]&lt;=60, "31–60 kWh", "61+ kWh"))</f>
        <v>31–60 kWh</v>
      </c>
      <c r="G208" s="16" t="s">
        <v>24</v>
      </c>
      <c r="H208" s="16"/>
      <c r="I208" s="16">
        <v>250</v>
      </c>
      <c r="J208" s="16">
        <v>139</v>
      </c>
      <c r="K208" s="16" t="str">
        <f t="shared" si="3"/>
        <v>131–160 Wh/km</v>
      </c>
      <c r="L208" s="16">
        <v>275</v>
      </c>
      <c r="M208" s="16" t="str">
        <f>IF(electric_vehicles_spec_2025_csv[[#This Row],[range_km]]&lt;=200, "0–200 km",IF(electric_vehicles_spec_2025_csv[[#This Row],[range_km]]&lt;=400, "201–400 km", "401+ km"))</f>
        <v>201–400 km</v>
      </c>
      <c r="N208" s="16">
        <v>8</v>
      </c>
      <c r="O208" s="16" t="str">
        <f>IF(electric_vehicles_spec_2025_csv[[#This Row],[acceleration_0_100_s]]&lt;4,"0–3.9 s",IF(electric_vehicles_spec_2025_csv[[#This Row],[acceleration_0_100_s]]&lt;6,"4.0–5.9 s",IF(electric_vehicles_spec_2025_csv[[#This Row],[acceleration_0_100_s]]&lt;8,"6.0–7.9 s","8.0+ s")))</f>
        <v>8.0+ s</v>
      </c>
      <c r="P208" s="16">
        <v>80</v>
      </c>
      <c r="Q208" s="16" t="str">
        <f>IF(electric_vehicles_spec_2025_csv[[#This Row],[fast_charging_power_kw_dc]]&lt;50,"0–49 kW",IF(electric_vehicles_spec_2025_csv[[#This Row],[fast_charging_power_kw_dc]]&lt;100,"50–99 kW",IF(electric_vehicles_spec_2025_csv[[#This Row],[fast_charging_power_kw_dc]]&lt;150,"100–149 kW","150+ kW")))</f>
        <v>50–99 kW</v>
      </c>
      <c r="R208" s="16" t="s">
        <v>25</v>
      </c>
      <c r="S208" s="16">
        <v>750</v>
      </c>
      <c r="T208" s="16" t="s">
        <v>568</v>
      </c>
      <c r="U208" s="16">
        <v>5</v>
      </c>
      <c r="V208" s="16" t="s">
        <v>63</v>
      </c>
      <c r="W208" s="16" t="s">
        <v>43</v>
      </c>
      <c r="X208" s="16">
        <v>4476</v>
      </c>
      <c r="Y208" s="16">
        <v>1849</v>
      </c>
      <c r="Z208" s="16">
        <v>1621</v>
      </c>
      <c r="AA208" s="16" t="s">
        <v>36</v>
      </c>
      <c r="AB208" s="16" t="s">
        <v>569</v>
      </c>
    </row>
    <row r="209" spans="1:28" x14ac:dyDescent="0.3">
      <c r="A209" s="16" t="s">
        <v>546</v>
      </c>
      <c r="B209" s="16" t="s">
        <v>570</v>
      </c>
      <c r="C209" s="16">
        <v>190</v>
      </c>
      <c r="D20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09" s="16">
        <v>62.1</v>
      </c>
      <c r="F209" s="16" t="str">
        <f>IF(electric_vehicles_spec_2025_csv[[#This Row],[battery_capacity_kWh]]&lt;=30, "0–30 kWh", IF(electric_vehicles_spec_2025_csv[[#This Row],[battery_capacity_kWh]]&lt;=60, "31–60 kWh", "61+ kWh"))</f>
        <v>61+ kWh</v>
      </c>
      <c r="G209" s="16" t="s">
        <v>24</v>
      </c>
      <c r="H209" s="16"/>
      <c r="I209" s="16">
        <v>350</v>
      </c>
      <c r="J209" s="16">
        <v>134</v>
      </c>
      <c r="K209" s="16" t="str">
        <f t="shared" si="3"/>
        <v>131–160 Wh/km</v>
      </c>
      <c r="L209" s="16">
        <v>365</v>
      </c>
      <c r="M209" s="16" t="str">
        <f>IF(electric_vehicles_spec_2025_csv[[#This Row],[range_km]]&lt;=200, "0–200 km",IF(electric_vehicles_spec_2025_csv[[#This Row],[range_km]]&lt;=400, "201–400 km", "401+ km"))</f>
        <v>201–400 km</v>
      </c>
      <c r="N209" s="16">
        <v>6.3</v>
      </c>
      <c r="O209" s="16" t="str">
        <f>IF(electric_vehicles_spec_2025_csv[[#This Row],[acceleration_0_100_s]]&lt;4,"0–3.9 s",IF(electric_vehicles_spec_2025_csv[[#This Row],[acceleration_0_100_s]]&lt;6,"4.0–5.9 s",IF(electric_vehicles_spec_2025_csv[[#This Row],[acceleration_0_100_s]]&lt;8,"6.0–7.9 s","8.0+ s")))</f>
        <v>6.0–7.9 s</v>
      </c>
      <c r="P209" s="16">
        <v>90</v>
      </c>
      <c r="Q209" s="16" t="str">
        <f>IF(electric_vehicles_spec_2025_csv[[#This Row],[fast_charging_power_kw_dc]]&lt;50,"0–49 kW",IF(electric_vehicles_spec_2025_csv[[#This Row],[fast_charging_power_kw_dc]]&lt;100,"50–99 kW",IF(electric_vehicles_spec_2025_csv[[#This Row],[fast_charging_power_kw_dc]]&lt;150,"100–149 kW","150+ kW")))</f>
        <v>50–99 kW</v>
      </c>
      <c r="R209" s="16" t="s">
        <v>25</v>
      </c>
      <c r="S209" s="16">
        <v>750</v>
      </c>
      <c r="T209" s="16" t="s">
        <v>568</v>
      </c>
      <c r="U209" s="16">
        <v>5</v>
      </c>
      <c r="V209" s="16" t="s">
        <v>63</v>
      </c>
      <c r="W209" s="16" t="s">
        <v>43</v>
      </c>
      <c r="X209" s="16">
        <v>4476</v>
      </c>
      <c r="Y209" s="16">
        <v>1849</v>
      </c>
      <c r="Z209" s="16">
        <v>1621</v>
      </c>
      <c r="AA209" s="16" t="s">
        <v>36</v>
      </c>
      <c r="AB209" s="16" t="s">
        <v>571</v>
      </c>
    </row>
    <row r="210" spans="1:28" x14ac:dyDescent="0.3">
      <c r="A210" s="16" t="s">
        <v>546</v>
      </c>
      <c r="B210" s="16" t="s">
        <v>572</v>
      </c>
      <c r="C210" s="16">
        <v>175</v>
      </c>
      <c r="D21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10" s="16">
        <v>68.3</v>
      </c>
      <c r="F210" s="16" t="str">
        <f>IF(electric_vehicles_spec_2025_csv[[#This Row],[battery_capacity_kWh]]&lt;=30, "0–30 kWh", IF(electric_vehicles_spec_2025_csv[[#This Row],[battery_capacity_kWh]]&lt;=60, "31–60 kWh", "61+ kWh"))</f>
        <v>61+ kWh</v>
      </c>
      <c r="G210" s="16" t="s">
        <v>24</v>
      </c>
      <c r="H210" s="16"/>
      <c r="I210" s="16">
        <v>280</v>
      </c>
      <c r="J210" s="16">
        <v>155</v>
      </c>
      <c r="K210" s="16" t="str">
        <f t="shared" si="3"/>
        <v>131–160 Wh/km</v>
      </c>
      <c r="L210" s="16">
        <v>370</v>
      </c>
      <c r="M210" s="16" t="str">
        <f>IF(electric_vehicles_spec_2025_csv[[#This Row],[range_km]]&lt;=200, "0–200 km",IF(electric_vehicles_spec_2025_csv[[#This Row],[range_km]]&lt;=400, "201–400 km", "401+ km"))</f>
        <v>201–400 km</v>
      </c>
      <c r="N210" s="16">
        <v>8.4</v>
      </c>
      <c r="O210" s="16" t="str">
        <f>IF(electric_vehicles_spec_2025_csv[[#This Row],[acceleration_0_100_s]]&lt;4,"0–3.9 s",IF(electric_vehicles_spec_2025_csv[[#This Row],[acceleration_0_100_s]]&lt;6,"4.0–5.9 s",IF(electric_vehicles_spec_2025_csv[[#This Row],[acceleration_0_100_s]]&lt;8,"6.0–7.9 s","8.0+ s")))</f>
        <v>8.0+ s</v>
      </c>
      <c r="P210" s="16">
        <v>82</v>
      </c>
      <c r="Q210" s="16" t="str">
        <f>IF(electric_vehicles_spec_2025_csv[[#This Row],[fast_charging_power_kw_dc]]&lt;50,"0–49 kW",IF(electric_vehicles_spec_2025_csv[[#This Row],[fast_charging_power_kw_dc]]&lt;100,"50–99 kW",IF(electric_vehicles_spec_2025_csv[[#This Row],[fast_charging_power_kw_dc]]&lt;150,"100–149 kW","150+ kW")))</f>
        <v>50–99 kW</v>
      </c>
      <c r="R210" s="16" t="s">
        <v>25</v>
      </c>
      <c r="S210" s="16">
        <v>500</v>
      </c>
      <c r="T210" s="16" t="s">
        <v>573</v>
      </c>
      <c r="U210" s="16">
        <v>5</v>
      </c>
      <c r="V210" s="16" t="s">
        <v>27</v>
      </c>
      <c r="W210" s="16" t="s">
        <v>35</v>
      </c>
      <c r="X210" s="16">
        <v>4323</v>
      </c>
      <c r="Y210" s="16">
        <v>1809</v>
      </c>
      <c r="Z210" s="16">
        <v>1649</v>
      </c>
      <c r="AA210" s="16" t="s">
        <v>36</v>
      </c>
      <c r="AB210" s="16" t="s">
        <v>574</v>
      </c>
    </row>
    <row r="211" spans="1:28" x14ac:dyDescent="0.3">
      <c r="A211" s="16" t="s">
        <v>546</v>
      </c>
      <c r="B211" s="16" t="s">
        <v>575</v>
      </c>
      <c r="C211" s="16">
        <v>175</v>
      </c>
      <c r="D21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11" s="16">
        <v>49</v>
      </c>
      <c r="F211" s="16" t="str">
        <f>IF(electric_vehicles_spec_2025_csv[[#This Row],[battery_capacity_kWh]]&lt;=30, "0–30 kWh", IF(electric_vehicles_spec_2025_csv[[#This Row],[battery_capacity_kWh]]&lt;=60, "31–60 kWh", "61+ kWh"))</f>
        <v>31–60 kWh</v>
      </c>
      <c r="G211" s="16" t="s">
        <v>24</v>
      </c>
      <c r="H211" s="16"/>
      <c r="I211" s="16">
        <v>280</v>
      </c>
      <c r="J211" s="16">
        <v>153</v>
      </c>
      <c r="K211" s="16" t="str">
        <f t="shared" si="3"/>
        <v>131–160 Wh/km</v>
      </c>
      <c r="L211" s="16">
        <v>265</v>
      </c>
      <c r="M211" s="16" t="str">
        <f>IF(electric_vehicles_spec_2025_csv[[#This Row],[range_km]]&lt;=200, "0–200 km",IF(electric_vehicles_spec_2025_csv[[#This Row],[range_km]]&lt;=400, "201–400 km", "401+ km"))</f>
        <v>201–400 km</v>
      </c>
      <c r="N211" s="16">
        <v>8.6</v>
      </c>
      <c r="O211" s="16" t="str">
        <f>IF(electric_vehicles_spec_2025_csv[[#This Row],[acceleration_0_100_s]]&lt;4,"0–3.9 s",IF(electric_vehicles_spec_2025_csv[[#This Row],[acceleration_0_100_s]]&lt;6,"4.0–5.9 s",IF(electric_vehicles_spec_2025_csv[[#This Row],[acceleration_0_100_s]]&lt;8,"6.0–7.9 s","8.0+ s")))</f>
        <v>8.0+ s</v>
      </c>
      <c r="P211" s="16">
        <v>50</v>
      </c>
      <c r="Q211" s="16" t="str">
        <f>IF(electric_vehicles_spec_2025_csv[[#This Row],[fast_charging_power_kw_dc]]&lt;50,"0–49 kW",IF(electric_vehicles_spec_2025_csv[[#This Row],[fast_charging_power_kw_dc]]&lt;100,"50–99 kW",IF(electric_vehicles_spec_2025_csv[[#This Row],[fast_charging_power_kw_dc]]&lt;150,"100–149 kW","150+ kW")))</f>
        <v>50–99 kW</v>
      </c>
      <c r="R211" s="16" t="s">
        <v>25</v>
      </c>
      <c r="S211" s="16">
        <v>500</v>
      </c>
      <c r="T211" s="16" t="s">
        <v>573</v>
      </c>
      <c r="U211" s="16">
        <v>5</v>
      </c>
      <c r="V211" s="16" t="s">
        <v>27</v>
      </c>
      <c r="W211" s="16" t="s">
        <v>35</v>
      </c>
      <c r="X211" s="16">
        <v>4323</v>
      </c>
      <c r="Y211" s="16">
        <v>1809</v>
      </c>
      <c r="Z211" s="16">
        <v>1649</v>
      </c>
      <c r="AA211" s="16" t="s">
        <v>36</v>
      </c>
      <c r="AB211" s="16" t="s">
        <v>576</v>
      </c>
    </row>
    <row r="212" spans="1:28" x14ac:dyDescent="0.3">
      <c r="A212" s="16" t="s">
        <v>577</v>
      </c>
      <c r="B212" s="16" t="s">
        <v>578</v>
      </c>
      <c r="C212" s="16">
        <v>290</v>
      </c>
      <c r="D21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275–299 km/h</v>
      </c>
      <c r="E212" s="16">
        <v>83</v>
      </c>
      <c r="F212" s="16" t="str">
        <f>IF(electric_vehicles_spec_2025_csv[[#This Row],[battery_capacity_kWh]]&lt;=30, "0–30 kWh", IF(electric_vehicles_spec_2025_csv[[#This Row],[battery_capacity_kWh]]&lt;=60, "31–60 kWh", "61+ kWh"))</f>
        <v>61+ kWh</v>
      </c>
      <c r="G212" s="16" t="s">
        <v>24</v>
      </c>
      <c r="H212" s="16"/>
      <c r="I212" s="16">
        <v>1350</v>
      </c>
      <c r="J212" s="16">
        <v>198</v>
      </c>
      <c r="K212" s="16" t="str">
        <f t="shared" si="3"/>
        <v>161+ Wh/km</v>
      </c>
      <c r="L212" s="16">
        <v>395</v>
      </c>
      <c r="M212" s="16" t="str">
        <f>IF(electric_vehicles_spec_2025_csv[[#This Row],[range_km]]&lt;=200, "0–200 km",IF(electric_vehicles_spec_2025_csv[[#This Row],[range_km]]&lt;=400, "201–400 km", "401+ km"))</f>
        <v>201–400 km</v>
      </c>
      <c r="N212" s="16">
        <v>2.8</v>
      </c>
      <c r="O212" s="16" t="str">
        <f>IF(electric_vehicles_spec_2025_csv[[#This Row],[acceleration_0_100_s]]&lt;4,"0–3.9 s",IF(electric_vehicles_spec_2025_csv[[#This Row],[acceleration_0_100_s]]&lt;6,"4.0–5.9 s",IF(electric_vehicles_spec_2025_csv[[#This Row],[acceleration_0_100_s]]&lt;8,"6.0–7.9 s","8.0+ s")))</f>
        <v>0–3.9 s</v>
      </c>
      <c r="P212" s="16">
        <v>190</v>
      </c>
      <c r="Q212" s="16" t="str">
        <f>IF(electric_vehicles_spec_2025_csv[[#This Row],[fast_charging_power_kw_dc]]&lt;50,"0–49 kW",IF(electric_vehicles_spec_2025_csv[[#This Row],[fast_charging_power_kw_dc]]&lt;100,"50–99 kW",IF(electric_vehicles_spec_2025_csv[[#This Row],[fast_charging_power_kw_dc]]&lt;150,"100–149 kW","150+ kW")))</f>
        <v>150+ kW</v>
      </c>
      <c r="R212" s="16" t="s">
        <v>25</v>
      </c>
      <c r="S212" s="16"/>
      <c r="T212" s="16" t="s">
        <v>579</v>
      </c>
      <c r="U212" s="16">
        <v>4</v>
      </c>
      <c r="V212" s="16" t="s">
        <v>70</v>
      </c>
      <c r="W212" s="16" t="s">
        <v>124</v>
      </c>
      <c r="X212" s="16">
        <v>4966</v>
      </c>
      <c r="Y212" s="16">
        <v>1957</v>
      </c>
      <c r="Z212" s="16">
        <v>1365</v>
      </c>
      <c r="AA212" s="16" t="s">
        <v>310</v>
      </c>
      <c r="AB212" s="16" t="s">
        <v>580</v>
      </c>
    </row>
    <row r="213" spans="1:28" x14ac:dyDescent="0.3">
      <c r="A213" s="16" t="s">
        <v>577</v>
      </c>
      <c r="B213" s="16" t="s">
        <v>581</v>
      </c>
      <c r="C213" s="16">
        <v>325</v>
      </c>
      <c r="D21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300–325 km/h</v>
      </c>
      <c r="E213" s="16">
        <v>83</v>
      </c>
      <c r="F213" s="16" t="str">
        <f>IF(electric_vehicles_spec_2025_csv[[#This Row],[battery_capacity_kWh]]&lt;=30, "0–30 kWh", IF(electric_vehicles_spec_2025_csv[[#This Row],[battery_capacity_kWh]]&lt;=60, "31–60 kWh", "61+ kWh"))</f>
        <v>61+ kWh</v>
      </c>
      <c r="G213" s="16" t="s">
        <v>24</v>
      </c>
      <c r="H213" s="16"/>
      <c r="I213" s="16">
        <v>1350</v>
      </c>
      <c r="J213" s="16">
        <v>182</v>
      </c>
      <c r="K213" s="16" t="str">
        <f t="shared" si="3"/>
        <v>161+ Wh/km</v>
      </c>
      <c r="L213" s="16">
        <v>420</v>
      </c>
      <c r="M213" s="16" t="str">
        <f>IF(electric_vehicles_spec_2025_csv[[#This Row],[range_km]]&lt;=200, "0–200 km",IF(electric_vehicles_spec_2025_csv[[#This Row],[range_km]]&lt;=400, "201–400 km", "401+ km"))</f>
        <v>401+ km</v>
      </c>
      <c r="N213" s="16">
        <v>2.7</v>
      </c>
      <c r="O213" s="16" t="str">
        <f>IF(electric_vehicles_spec_2025_csv[[#This Row],[acceleration_0_100_s]]&lt;4,"0–3.9 s",IF(electric_vehicles_spec_2025_csv[[#This Row],[acceleration_0_100_s]]&lt;6,"4.0–5.9 s",IF(electric_vehicles_spec_2025_csv[[#This Row],[acceleration_0_100_s]]&lt;8,"6.0–7.9 s","8.0+ s")))</f>
        <v>0–3.9 s</v>
      </c>
      <c r="P213" s="16">
        <v>217</v>
      </c>
      <c r="Q213" s="16" t="str">
        <f>IF(electric_vehicles_spec_2025_csv[[#This Row],[fast_charging_power_kw_dc]]&lt;50,"0–49 kW",IF(electric_vehicles_spec_2025_csv[[#This Row],[fast_charging_power_kw_dc]]&lt;100,"50–99 kW",IF(electric_vehicles_spec_2025_csv[[#This Row],[fast_charging_power_kw_dc]]&lt;150,"100–149 kW","150+ kW")))</f>
        <v>150+ kW</v>
      </c>
      <c r="R213" s="16" t="s">
        <v>25</v>
      </c>
      <c r="S213" s="16"/>
      <c r="T213" s="16" t="s">
        <v>582</v>
      </c>
      <c r="U213" s="16">
        <v>4</v>
      </c>
      <c r="V213" s="16" t="s">
        <v>70</v>
      </c>
      <c r="W213" s="16" t="s">
        <v>124</v>
      </c>
      <c r="X213" s="16">
        <v>4959</v>
      </c>
      <c r="Y213" s="16">
        <v>1957</v>
      </c>
      <c r="Z213" s="16">
        <v>1353</v>
      </c>
      <c r="AA213" s="16" t="s">
        <v>583</v>
      </c>
      <c r="AB213" s="16" t="s">
        <v>584</v>
      </c>
    </row>
    <row r="214" spans="1:28" x14ac:dyDescent="0.3">
      <c r="A214" s="16" t="s">
        <v>577</v>
      </c>
      <c r="B214" s="16" t="s">
        <v>585</v>
      </c>
      <c r="C214" s="16">
        <v>220</v>
      </c>
      <c r="D21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14" s="16">
        <v>95</v>
      </c>
      <c r="F214" s="16" t="str">
        <f>IF(electric_vehicles_spec_2025_csv[[#This Row],[battery_capacity_kWh]]&lt;=30, "0–30 kWh", IF(electric_vehicles_spec_2025_csv[[#This Row],[battery_capacity_kWh]]&lt;=60, "31–60 kWh", "61+ kWh"))</f>
        <v>61+ kWh</v>
      </c>
      <c r="G214" s="16" t="s">
        <v>24</v>
      </c>
      <c r="H214" s="16"/>
      <c r="I214" s="16">
        <v>820</v>
      </c>
      <c r="J214" s="16">
        <v>220</v>
      </c>
      <c r="K214" s="16" t="str">
        <f t="shared" si="3"/>
        <v>161+ Wh/km</v>
      </c>
      <c r="L214" s="16">
        <v>400</v>
      </c>
      <c r="M214" s="16" t="str">
        <f>IF(electric_vehicles_spec_2025_csv[[#This Row],[range_km]]&lt;=200, "0–200 km",IF(electric_vehicles_spec_2025_csv[[#This Row],[range_km]]&lt;=400, "201–400 km", "401+ km"))</f>
        <v>201–400 km</v>
      </c>
      <c r="N214" s="16">
        <v>4.0999999999999996</v>
      </c>
      <c r="O214" s="16" t="str">
        <f>IF(electric_vehicles_spec_2025_csv[[#This Row],[acceleration_0_100_s]]&lt;4,"0–3.9 s",IF(electric_vehicles_spec_2025_csv[[#This Row],[acceleration_0_100_s]]&lt;6,"4.0–5.9 s",IF(electric_vehicles_spec_2025_csv[[#This Row],[acceleration_0_100_s]]&lt;8,"6.0–7.9 s","8.0+ s")))</f>
        <v>4.0–5.9 s</v>
      </c>
      <c r="P214" s="16">
        <v>110</v>
      </c>
      <c r="Q214" s="16" t="str">
        <f>IF(electric_vehicles_spec_2025_csv[[#This Row],[fast_charging_power_kw_dc]]&lt;50,"0–49 kW",IF(electric_vehicles_spec_2025_csv[[#This Row],[fast_charging_power_kw_dc]]&lt;100,"50–99 kW",IF(electric_vehicles_spec_2025_csv[[#This Row],[fast_charging_power_kw_dc]]&lt;150,"100–149 kW","150+ kW")))</f>
        <v>100–149 kW</v>
      </c>
      <c r="R214" s="16" t="s">
        <v>25</v>
      </c>
      <c r="S214" s="16">
        <v>1800</v>
      </c>
      <c r="T214" s="16" t="s">
        <v>83</v>
      </c>
      <c r="U214" s="16">
        <v>5</v>
      </c>
      <c r="V214" s="16" t="s">
        <v>70</v>
      </c>
      <c r="W214" s="16" t="s">
        <v>64</v>
      </c>
      <c r="X214" s="16">
        <v>4865</v>
      </c>
      <c r="Y214" s="16">
        <v>1948</v>
      </c>
      <c r="Z214" s="16">
        <v>1651</v>
      </c>
      <c r="AA214" s="16" t="s">
        <v>36</v>
      </c>
      <c r="AB214" s="16" t="s">
        <v>586</v>
      </c>
    </row>
    <row r="215" spans="1:28" x14ac:dyDescent="0.3">
      <c r="A215" s="16" t="s">
        <v>587</v>
      </c>
      <c r="B215" s="16" t="s">
        <v>588</v>
      </c>
      <c r="C215" s="16">
        <v>180</v>
      </c>
      <c r="D21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15" s="16">
        <v>84</v>
      </c>
      <c r="F215" s="16" t="str">
        <f>IF(electric_vehicles_spec_2025_csv[[#This Row],[battery_capacity_kWh]]&lt;=30, "0–30 kWh", IF(electric_vehicles_spec_2025_csv[[#This Row],[battery_capacity_kWh]]&lt;=60, "31–60 kWh", "61+ kWh"))</f>
        <v>61+ kWh</v>
      </c>
      <c r="G215" s="16" t="s">
        <v>24</v>
      </c>
      <c r="H215" s="16"/>
      <c r="I215" s="16">
        <v>350</v>
      </c>
      <c r="J215" s="16">
        <v>195</v>
      </c>
      <c r="K215" s="16" t="str">
        <f t="shared" si="3"/>
        <v>161+ Wh/km</v>
      </c>
      <c r="L215" s="16">
        <v>365</v>
      </c>
      <c r="M215" s="16" t="str">
        <f>IF(electric_vehicles_spec_2025_csv[[#This Row],[range_km]]&lt;=200, "0–200 km",IF(electric_vehicles_spec_2025_csv[[#This Row],[range_km]]&lt;=400, "201–400 km", "401+ km"))</f>
        <v>201–400 km</v>
      </c>
      <c r="N215" s="16">
        <v>9.1999999999999993</v>
      </c>
      <c r="O215" s="16" t="str">
        <f>IF(electric_vehicles_spec_2025_csv[[#This Row],[acceleration_0_100_s]]&lt;4,"0–3.9 s",IF(electric_vehicles_spec_2025_csv[[#This Row],[acceleration_0_100_s]]&lt;6,"4.0–5.9 s",IF(electric_vehicles_spec_2025_csv[[#This Row],[acceleration_0_100_s]]&lt;8,"6.0–7.9 s","8.0+ s")))</f>
        <v>8.0+ s</v>
      </c>
      <c r="P215" s="16">
        <v>103</v>
      </c>
      <c r="Q215" s="16" t="str">
        <f>IF(electric_vehicles_spec_2025_csv[[#This Row],[fast_charging_power_kw_dc]]&lt;50,"0–49 kW",IF(electric_vehicles_spec_2025_csv[[#This Row],[fast_charging_power_kw_dc]]&lt;100,"50–99 kW",IF(electric_vehicles_spec_2025_csv[[#This Row],[fast_charging_power_kw_dc]]&lt;150,"100–149 kW","150+ kW")))</f>
        <v>100–149 kW</v>
      </c>
      <c r="R215" s="16" t="s">
        <v>25</v>
      </c>
      <c r="S215" s="16">
        <v>1000</v>
      </c>
      <c r="T215" s="16" t="s">
        <v>589</v>
      </c>
      <c r="U215" s="16">
        <v>7</v>
      </c>
      <c r="V215" s="16" t="s">
        <v>27</v>
      </c>
      <c r="W215" s="16" t="s">
        <v>244</v>
      </c>
      <c r="X215" s="16">
        <v>5270</v>
      </c>
      <c r="Y215" s="16">
        <v>2000</v>
      </c>
      <c r="Z215" s="16">
        <v>1840</v>
      </c>
      <c r="AA215" s="16" t="s">
        <v>245</v>
      </c>
      <c r="AB215" s="16" t="s">
        <v>590</v>
      </c>
    </row>
    <row r="216" spans="1:28" x14ac:dyDescent="0.3">
      <c r="A216" s="16" t="s">
        <v>591</v>
      </c>
      <c r="B216" s="16" t="s">
        <v>592</v>
      </c>
      <c r="C216" s="16">
        <v>175</v>
      </c>
      <c r="D21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16" s="16">
        <v>66</v>
      </c>
      <c r="F216" s="16" t="str">
        <f>IF(electric_vehicles_spec_2025_csv[[#This Row],[battery_capacity_kWh]]&lt;=30, "0–30 kWh", IF(electric_vehicles_spec_2025_csv[[#This Row],[battery_capacity_kWh]]&lt;=60, "31–60 kWh", "61+ kWh"))</f>
        <v>61+ kWh</v>
      </c>
      <c r="G216" s="16" t="s">
        <v>24</v>
      </c>
      <c r="H216" s="16"/>
      <c r="I216" s="16">
        <v>320</v>
      </c>
      <c r="J216" s="16">
        <v>138</v>
      </c>
      <c r="K216" s="16" t="str">
        <f t="shared" si="3"/>
        <v>131–160 Wh/km</v>
      </c>
      <c r="L216" s="16">
        <v>390</v>
      </c>
      <c r="M216" s="16" t="str">
        <f>IF(electric_vehicles_spec_2025_csv[[#This Row],[range_km]]&lt;=200, "0–200 km",IF(electric_vehicles_spec_2025_csv[[#This Row],[range_km]]&lt;=400, "201–400 km", "401+ km"))</f>
        <v>201–400 km</v>
      </c>
      <c r="N216" s="16">
        <v>7.6</v>
      </c>
      <c r="O216" s="16" t="str">
        <f>IF(electric_vehicles_spec_2025_csv[[#This Row],[acceleration_0_100_s]]&lt;4,"0–3.9 s",IF(electric_vehicles_spec_2025_csv[[#This Row],[acceleration_0_100_s]]&lt;6,"4.0–5.9 s",IF(electric_vehicles_spec_2025_csv[[#This Row],[acceleration_0_100_s]]&lt;8,"6.0–7.9 s","8.0+ s")))</f>
        <v>6.0–7.9 s</v>
      </c>
      <c r="P216" s="16">
        <v>120</v>
      </c>
      <c r="Q216" s="16" t="str">
        <f>IF(electric_vehicles_spec_2025_csv[[#This Row],[fast_charging_power_kw_dc]]&lt;50,"0–49 kW",IF(electric_vehicles_spec_2025_csv[[#This Row],[fast_charging_power_kw_dc]]&lt;100,"50–99 kW",IF(electric_vehicles_spec_2025_csv[[#This Row],[fast_charging_power_kw_dc]]&lt;150,"100–149 kW","150+ kW")))</f>
        <v>100–149 kW</v>
      </c>
      <c r="R216" s="16" t="s">
        <v>25</v>
      </c>
      <c r="S216" s="16">
        <v>1500</v>
      </c>
      <c r="T216" s="16" t="s">
        <v>536</v>
      </c>
      <c r="U216" s="16">
        <v>5</v>
      </c>
      <c r="V216" s="16" t="s">
        <v>63</v>
      </c>
      <c r="W216" s="16" t="s">
        <v>137</v>
      </c>
      <c r="X216" s="16">
        <v>4921</v>
      </c>
      <c r="Y216" s="16">
        <v>1890</v>
      </c>
      <c r="Z216" s="16">
        <v>1491</v>
      </c>
      <c r="AA216" s="16" t="s">
        <v>73</v>
      </c>
      <c r="AB216" s="16" t="s">
        <v>593</v>
      </c>
    </row>
    <row r="217" spans="1:28" x14ac:dyDescent="0.3">
      <c r="A217" s="16" t="s">
        <v>591</v>
      </c>
      <c r="B217" s="16" t="s">
        <v>594</v>
      </c>
      <c r="C217" s="16">
        <v>175</v>
      </c>
      <c r="D21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17" s="16">
        <v>75</v>
      </c>
      <c r="F217" s="16" t="str">
        <f>IF(electric_vehicles_spec_2025_csv[[#This Row],[battery_capacity_kWh]]&lt;=30, "0–30 kWh", IF(electric_vehicles_spec_2025_csv[[#This Row],[battery_capacity_kWh]]&lt;=60, "31–60 kWh", "61+ kWh"))</f>
        <v>61+ kWh</v>
      </c>
      <c r="G217" s="16" t="s">
        <v>24</v>
      </c>
      <c r="H217" s="16"/>
      <c r="I217" s="16">
        <v>320</v>
      </c>
      <c r="J217" s="16">
        <v>136</v>
      </c>
      <c r="K217" s="16" t="str">
        <f t="shared" si="3"/>
        <v>131–160 Wh/km</v>
      </c>
      <c r="L217" s="16">
        <v>440</v>
      </c>
      <c r="M217" s="16" t="str">
        <f>IF(electric_vehicles_spec_2025_csv[[#This Row],[range_km]]&lt;=200, "0–200 km",IF(electric_vehicles_spec_2025_csv[[#This Row],[range_km]]&lt;=400, "201–400 km", "401+ km"))</f>
        <v>401+ km</v>
      </c>
      <c r="N217" s="16">
        <v>7.8</v>
      </c>
      <c r="O217" s="16" t="str">
        <f>IF(electric_vehicles_spec_2025_csv[[#This Row],[acceleration_0_100_s]]&lt;4,"0–3.9 s",IF(electric_vehicles_spec_2025_csv[[#This Row],[acceleration_0_100_s]]&lt;6,"4.0–5.9 s",IF(electric_vehicles_spec_2025_csv[[#This Row],[acceleration_0_100_s]]&lt;8,"6.0–7.9 s","8.0+ s")))</f>
        <v>6.0–7.9 s</v>
      </c>
      <c r="P217" s="16">
        <v>70</v>
      </c>
      <c r="Q217" s="16" t="str">
        <f>IF(electric_vehicles_spec_2025_csv[[#This Row],[fast_charging_power_kw_dc]]&lt;50,"0–49 kW",IF(electric_vehicles_spec_2025_csv[[#This Row],[fast_charging_power_kw_dc]]&lt;100,"50–99 kW",IF(electric_vehicles_spec_2025_csv[[#This Row],[fast_charging_power_kw_dc]]&lt;150,"100–149 kW","150+ kW")))</f>
        <v>50–99 kW</v>
      </c>
      <c r="R217" s="16" t="s">
        <v>25</v>
      </c>
      <c r="S217" s="16">
        <v>1500</v>
      </c>
      <c r="T217" s="16" t="s">
        <v>536</v>
      </c>
      <c r="U217" s="16">
        <v>5</v>
      </c>
      <c r="V217" s="16" t="s">
        <v>63</v>
      </c>
      <c r="W217" s="16" t="s">
        <v>137</v>
      </c>
      <c r="X217" s="16">
        <v>4921</v>
      </c>
      <c r="Y217" s="16">
        <v>1890</v>
      </c>
      <c r="Z217" s="16">
        <v>1491</v>
      </c>
      <c r="AA217" s="16" t="s">
        <v>73</v>
      </c>
      <c r="AB217" s="16" t="s">
        <v>595</v>
      </c>
    </row>
    <row r="218" spans="1:28" x14ac:dyDescent="0.3">
      <c r="A218" s="16" t="s">
        <v>596</v>
      </c>
      <c r="B218" s="16" t="s">
        <v>597</v>
      </c>
      <c r="C218" s="16">
        <v>210</v>
      </c>
      <c r="D21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18" s="16">
        <v>85</v>
      </c>
      <c r="F218" s="16" t="str">
        <f>IF(electric_vehicles_spec_2025_csv[[#This Row],[battery_capacity_kWh]]&lt;=30, "0–30 kWh", IF(electric_vehicles_spec_2025_csv[[#This Row],[battery_capacity_kWh]]&lt;=60, "31–60 kWh", "61+ kWh"))</f>
        <v>61+ kWh</v>
      </c>
      <c r="G218" s="16" t="s">
        <v>24</v>
      </c>
      <c r="H218" s="16"/>
      <c r="I218" s="16">
        <v>335</v>
      </c>
      <c r="J218" s="16">
        <v>122</v>
      </c>
      <c r="K218" s="16" t="str">
        <f t="shared" si="3"/>
        <v>0–130 Wh/km</v>
      </c>
      <c r="L218" s="16">
        <v>565</v>
      </c>
      <c r="M218" s="16" t="str">
        <f>IF(electric_vehicles_spec_2025_csv[[#This Row],[range_km]]&lt;=200, "0–200 km",IF(electric_vehicles_spec_2025_csv[[#This Row],[range_km]]&lt;=400, "201–400 km", "401+ km"))</f>
        <v>401+ km</v>
      </c>
      <c r="N218" s="16">
        <v>6.7</v>
      </c>
      <c r="O218" s="16" t="str">
        <f>IF(electric_vehicles_spec_2025_csv[[#This Row],[acceleration_0_100_s]]&lt;4,"0–3.9 s",IF(electric_vehicles_spec_2025_csv[[#This Row],[acceleration_0_100_s]]&lt;6,"4.0–5.9 s",IF(electric_vehicles_spec_2025_csv[[#This Row],[acceleration_0_100_s]]&lt;8,"6.0–7.9 s","8.0+ s")))</f>
        <v>6.0–7.9 s</v>
      </c>
      <c r="P218" s="16">
        <v>235</v>
      </c>
      <c r="Q218" s="16" t="str">
        <f>IF(electric_vehicles_spec_2025_csv[[#This Row],[fast_charging_power_kw_dc]]&lt;50,"0–49 kW",IF(electric_vehicles_spec_2025_csv[[#This Row],[fast_charging_power_kw_dc]]&lt;100,"50–99 kW",IF(electric_vehicles_spec_2025_csv[[#This Row],[fast_charging_power_kw_dc]]&lt;150,"100–149 kW","150+ kW")))</f>
        <v>150+ kW</v>
      </c>
      <c r="R218" s="16" t="s">
        <v>25</v>
      </c>
      <c r="S218" s="16">
        <v>1500</v>
      </c>
      <c r="T218" s="16" t="s">
        <v>130</v>
      </c>
      <c r="U218" s="16">
        <v>5</v>
      </c>
      <c r="V218" s="16" t="s">
        <v>63</v>
      </c>
      <c r="W218" s="16" t="s">
        <v>137</v>
      </c>
      <c r="X218" s="16">
        <v>4723</v>
      </c>
      <c r="Y218" s="16">
        <v>1855</v>
      </c>
      <c r="Z218" s="16">
        <v>1468</v>
      </c>
      <c r="AA218" s="16" t="s">
        <v>125</v>
      </c>
      <c r="AB218" s="16" t="s">
        <v>598</v>
      </c>
    </row>
    <row r="219" spans="1:28" x14ac:dyDescent="0.3">
      <c r="A219" s="16" t="s">
        <v>596</v>
      </c>
      <c r="B219" s="16" t="s">
        <v>599</v>
      </c>
      <c r="C219" s="16">
        <v>210</v>
      </c>
      <c r="D21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19" s="16">
        <v>85</v>
      </c>
      <c r="F219" s="16" t="str">
        <f>IF(electric_vehicles_spec_2025_csv[[#This Row],[battery_capacity_kWh]]&lt;=30, "0–30 kWh", IF(electric_vehicles_spec_2025_csv[[#This Row],[battery_capacity_kWh]]&lt;=60, "31–60 kWh", "61+ kWh"))</f>
        <v>61+ kWh</v>
      </c>
      <c r="G219" s="16" t="s">
        <v>24</v>
      </c>
      <c r="H219" s="16"/>
      <c r="I219" s="16">
        <v>515</v>
      </c>
      <c r="J219" s="16">
        <v>126</v>
      </c>
      <c r="K219" s="16" t="str">
        <f t="shared" si="3"/>
        <v>0–130 Wh/km</v>
      </c>
      <c r="L219" s="16">
        <v>550</v>
      </c>
      <c r="M219" s="16" t="str">
        <f>IF(electric_vehicles_spec_2025_csv[[#This Row],[range_km]]&lt;=200, "0–200 km",IF(electric_vehicles_spec_2025_csv[[#This Row],[range_km]]&lt;=400, "201–400 km", "401+ km"))</f>
        <v>401+ km</v>
      </c>
      <c r="N219" s="16">
        <v>4.9000000000000004</v>
      </c>
      <c r="O219" s="16" t="str">
        <f>IF(electric_vehicles_spec_2025_csv[[#This Row],[acceleration_0_100_s]]&lt;4,"0–3.9 s",IF(electric_vehicles_spec_2025_csv[[#This Row],[acceleration_0_100_s]]&lt;6,"4.0–5.9 s",IF(electric_vehicles_spec_2025_csv[[#This Row],[acceleration_0_100_s]]&lt;8,"6.0–7.9 s","8.0+ s")))</f>
        <v>4.0–5.9 s</v>
      </c>
      <c r="P219" s="16">
        <v>235</v>
      </c>
      <c r="Q219" s="16" t="str">
        <f>IF(electric_vehicles_spec_2025_csv[[#This Row],[fast_charging_power_kw_dc]]&lt;50,"0–49 kW",IF(electric_vehicles_spec_2025_csv[[#This Row],[fast_charging_power_kw_dc]]&lt;100,"50–99 kW",IF(electric_vehicles_spec_2025_csv[[#This Row],[fast_charging_power_kw_dc]]&lt;150,"100–149 kW","150+ kW")))</f>
        <v>150+ kW</v>
      </c>
      <c r="R219" s="16" t="s">
        <v>25</v>
      </c>
      <c r="S219" s="16">
        <v>1800</v>
      </c>
      <c r="T219" s="16" t="s">
        <v>130</v>
      </c>
      <c r="U219" s="16">
        <v>5</v>
      </c>
      <c r="V219" s="16" t="s">
        <v>70</v>
      </c>
      <c r="W219" s="16" t="s">
        <v>137</v>
      </c>
      <c r="X219" s="16">
        <v>4723</v>
      </c>
      <c r="Y219" s="16">
        <v>1855</v>
      </c>
      <c r="Z219" s="16">
        <v>1468</v>
      </c>
      <c r="AA219" s="16" t="s">
        <v>125</v>
      </c>
      <c r="AB219" s="16" t="s">
        <v>600</v>
      </c>
    </row>
    <row r="220" spans="1:28" x14ac:dyDescent="0.3">
      <c r="A220" s="16" t="s">
        <v>596</v>
      </c>
      <c r="B220" s="16" t="s">
        <v>601</v>
      </c>
      <c r="C220" s="16">
        <v>160</v>
      </c>
      <c r="D22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0" s="16">
        <v>66.5</v>
      </c>
      <c r="F220" s="16" t="str">
        <f>IF(electric_vehicles_spec_2025_csv[[#This Row],[battery_capacity_kWh]]&lt;=30, "0–30 kWh", IF(electric_vehicles_spec_2025_csv[[#This Row],[battery_capacity_kWh]]&lt;=60, "31–60 kWh", "61+ kWh"))</f>
        <v>61+ kWh</v>
      </c>
      <c r="G220" s="16" t="s">
        <v>24</v>
      </c>
      <c r="H220" s="16">
        <v>300</v>
      </c>
      <c r="I220" s="16">
        <v>385</v>
      </c>
      <c r="J220" s="16">
        <v>146</v>
      </c>
      <c r="K220" s="16" t="str">
        <f t="shared" si="3"/>
        <v>131–160 Wh/km</v>
      </c>
      <c r="L220" s="16">
        <v>395</v>
      </c>
      <c r="M220" s="16" t="str">
        <f>IF(electric_vehicles_spec_2025_csv[[#This Row],[range_km]]&lt;=200, "0–200 km",IF(electric_vehicles_spec_2025_csv[[#This Row],[range_km]]&lt;=400, "201–400 km", "401+ km"))</f>
        <v>201–400 km</v>
      </c>
      <c r="N220" s="16">
        <v>8.6</v>
      </c>
      <c r="O220" s="16" t="str">
        <f>IF(electric_vehicles_spec_2025_csv[[#This Row],[acceleration_0_100_s]]&lt;4,"0–3.9 s",IF(electric_vehicles_spec_2025_csv[[#This Row],[acceleration_0_100_s]]&lt;6,"4.0–5.9 s",IF(electric_vehicles_spec_2025_csv[[#This Row],[acceleration_0_100_s]]&lt;8,"6.0–7.9 s","8.0+ s")))</f>
        <v>8.0+ s</v>
      </c>
      <c r="P220" s="16">
        <v>100</v>
      </c>
      <c r="Q220" s="16" t="str">
        <f>IF(electric_vehicles_spec_2025_csv[[#This Row],[fast_charging_power_kw_dc]]&lt;50,"0–49 kW",IF(electric_vehicles_spec_2025_csv[[#This Row],[fast_charging_power_kw_dc]]&lt;100,"50–99 kW",IF(electric_vehicles_spec_2025_csv[[#This Row],[fast_charging_power_kw_dc]]&lt;150,"100–149 kW","150+ kW")))</f>
        <v>100–149 kW</v>
      </c>
      <c r="R220" s="16" t="s">
        <v>25</v>
      </c>
      <c r="S220" s="16">
        <v>1500</v>
      </c>
      <c r="T220" s="16" t="s">
        <v>602</v>
      </c>
      <c r="U220" s="16">
        <v>5</v>
      </c>
      <c r="V220" s="16" t="s">
        <v>27</v>
      </c>
      <c r="W220" s="16" t="s">
        <v>43</v>
      </c>
      <c r="X220" s="16">
        <v>4463</v>
      </c>
      <c r="Y220" s="16">
        <v>1834</v>
      </c>
      <c r="Z220" s="16">
        <v>1620</v>
      </c>
      <c r="AA220" s="16" t="s">
        <v>36</v>
      </c>
      <c r="AB220" s="16" t="s">
        <v>603</v>
      </c>
    </row>
    <row r="221" spans="1:28" x14ac:dyDescent="0.3">
      <c r="A221" s="16" t="s">
        <v>596</v>
      </c>
      <c r="B221" s="16" t="s">
        <v>604</v>
      </c>
      <c r="C221" s="16">
        <v>160</v>
      </c>
      <c r="D22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1" s="16">
        <v>70.5</v>
      </c>
      <c r="F221" s="16" t="str">
        <f>IF(electric_vehicles_spec_2025_csv[[#This Row],[battery_capacity_kWh]]&lt;=30, "0–30 kWh", IF(electric_vehicles_spec_2025_csv[[#This Row],[battery_capacity_kWh]]&lt;=60, "31–60 kWh", "61+ kWh"))</f>
        <v>61+ kWh</v>
      </c>
      <c r="G221" s="16" t="s">
        <v>24</v>
      </c>
      <c r="H221" s="16"/>
      <c r="I221" s="16">
        <v>385</v>
      </c>
      <c r="J221" s="16">
        <v>142</v>
      </c>
      <c r="K221" s="16" t="str">
        <f t="shared" si="3"/>
        <v>131–160 Wh/km</v>
      </c>
      <c r="L221" s="16">
        <v>420</v>
      </c>
      <c r="M221" s="16" t="str">
        <f>IF(electric_vehicles_spec_2025_csv[[#This Row],[range_km]]&lt;=200, "0–200 km",IF(electric_vehicles_spec_2025_csv[[#This Row],[range_km]]&lt;=400, "201–400 km", "401+ km"))</f>
        <v>401+ km</v>
      </c>
      <c r="N221" s="16">
        <v>8.6</v>
      </c>
      <c r="O221" s="16" t="str">
        <f>IF(electric_vehicles_spec_2025_csv[[#This Row],[acceleration_0_100_s]]&lt;4,"0–3.9 s",IF(electric_vehicles_spec_2025_csv[[#This Row],[acceleration_0_100_s]]&lt;6,"4.0–5.9 s",IF(electric_vehicles_spec_2025_csv[[#This Row],[acceleration_0_100_s]]&lt;8,"6.0–7.9 s","8.0+ s")))</f>
        <v>8.0+ s</v>
      </c>
      <c r="P221" s="16">
        <v>90</v>
      </c>
      <c r="Q221" s="16" t="str">
        <f>IF(electric_vehicles_spec_2025_csv[[#This Row],[fast_charging_power_kw_dc]]&lt;50,"0–49 kW",IF(electric_vehicles_spec_2025_csv[[#This Row],[fast_charging_power_kw_dc]]&lt;100,"50–99 kW",IF(electric_vehicles_spec_2025_csv[[#This Row],[fast_charging_power_kw_dc]]&lt;150,"100–149 kW","150+ kW")))</f>
        <v>50–99 kW</v>
      </c>
      <c r="R221" s="16" t="s">
        <v>25</v>
      </c>
      <c r="S221" s="16">
        <v>1500</v>
      </c>
      <c r="T221" s="16" t="s">
        <v>602</v>
      </c>
      <c r="U221" s="16">
        <v>5</v>
      </c>
      <c r="V221" s="16" t="s">
        <v>27</v>
      </c>
      <c r="W221" s="16" t="s">
        <v>43</v>
      </c>
      <c r="X221" s="16">
        <v>4463</v>
      </c>
      <c r="Y221" s="16">
        <v>1834</v>
      </c>
      <c r="Z221" s="16">
        <v>1620</v>
      </c>
      <c r="AA221" s="16" t="s">
        <v>36</v>
      </c>
      <c r="AB221" s="16" t="s">
        <v>605</v>
      </c>
    </row>
    <row r="222" spans="1:28" x14ac:dyDescent="0.3">
      <c r="A222" s="16" t="s">
        <v>596</v>
      </c>
      <c r="B222" s="16" t="s">
        <v>606</v>
      </c>
      <c r="C222" s="16">
        <v>160</v>
      </c>
      <c r="D22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2" s="16">
        <v>66.5</v>
      </c>
      <c r="F222" s="16" t="str">
        <f>IF(electric_vehicles_spec_2025_csv[[#This Row],[battery_capacity_kWh]]&lt;=30, "0–30 kWh", IF(electric_vehicles_spec_2025_csv[[#This Row],[battery_capacity_kWh]]&lt;=60, "31–60 kWh", "61+ kWh"))</f>
        <v>61+ kWh</v>
      </c>
      <c r="G222" s="16" t="s">
        <v>24</v>
      </c>
      <c r="H222" s="16">
        <v>300</v>
      </c>
      <c r="I222" s="16">
        <v>390</v>
      </c>
      <c r="J222" s="16">
        <v>162</v>
      </c>
      <c r="K222" s="16" t="str">
        <f t="shared" si="3"/>
        <v>161+ Wh/km</v>
      </c>
      <c r="L222" s="16">
        <v>350</v>
      </c>
      <c r="M222" s="16" t="str">
        <f>IF(electric_vehicles_spec_2025_csv[[#This Row],[range_km]]&lt;=200, "0–200 km",IF(electric_vehicles_spec_2025_csv[[#This Row],[range_km]]&lt;=400, "201–400 km", "401+ km"))</f>
        <v>201–400 km</v>
      </c>
      <c r="N222" s="16">
        <v>7.7</v>
      </c>
      <c r="O222" s="16" t="str">
        <f>IF(electric_vehicles_spec_2025_csv[[#This Row],[acceleration_0_100_s]]&lt;4,"0–3.9 s",IF(electric_vehicles_spec_2025_csv[[#This Row],[acceleration_0_100_s]]&lt;6,"4.0–5.9 s",IF(electric_vehicles_spec_2025_csv[[#This Row],[acceleration_0_100_s]]&lt;8,"6.0–7.9 s","8.0+ s")))</f>
        <v>6.0–7.9 s</v>
      </c>
      <c r="P222" s="16">
        <v>100</v>
      </c>
      <c r="Q222" s="16" t="str">
        <f>IF(electric_vehicles_spec_2025_csv[[#This Row],[fast_charging_power_kw_dc]]&lt;50,"0–49 kW",IF(electric_vehicles_spec_2025_csv[[#This Row],[fast_charging_power_kw_dc]]&lt;100,"50–99 kW",IF(electric_vehicles_spec_2025_csv[[#This Row],[fast_charging_power_kw_dc]]&lt;150,"100–149 kW","150+ kW")))</f>
        <v>100–149 kW</v>
      </c>
      <c r="R222" s="16" t="s">
        <v>25</v>
      </c>
      <c r="S222" s="16">
        <v>1800</v>
      </c>
      <c r="T222" s="16" t="s">
        <v>602</v>
      </c>
      <c r="U222" s="16">
        <v>5</v>
      </c>
      <c r="V222" s="16" t="s">
        <v>70</v>
      </c>
      <c r="W222" s="16" t="s">
        <v>43</v>
      </c>
      <c r="X222" s="16">
        <v>4463</v>
      </c>
      <c r="Y222" s="16">
        <v>1834</v>
      </c>
      <c r="Z222" s="16">
        <v>1620</v>
      </c>
      <c r="AA222" s="16" t="s">
        <v>36</v>
      </c>
      <c r="AB222" s="16" t="s">
        <v>607</v>
      </c>
    </row>
    <row r="223" spans="1:28" x14ac:dyDescent="0.3">
      <c r="A223" s="16" t="s">
        <v>596</v>
      </c>
      <c r="B223" s="16" t="s">
        <v>608</v>
      </c>
      <c r="C223" s="16">
        <v>160</v>
      </c>
      <c r="D22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3" s="16">
        <v>66.5</v>
      </c>
      <c r="F223" s="16" t="str">
        <f>IF(electric_vehicles_spec_2025_csv[[#This Row],[battery_capacity_kWh]]&lt;=30, "0–30 kWh", IF(electric_vehicles_spec_2025_csv[[#This Row],[battery_capacity_kWh]]&lt;=60, "31–60 kWh", "61+ kWh"))</f>
        <v>61+ kWh</v>
      </c>
      <c r="G223" s="16" t="s">
        <v>24</v>
      </c>
      <c r="H223" s="16">
        <v>300</v>
      </c>
      <c r="I223" s="16">
        <v>520</v>
      </c>
      <c r="J223" s="16">
        <v>162</v>
      </c>
      <c r="K223" s="16" t="str">
        <f t="shared" si="3"/>
        <v>161+ Wh/km</v>
      </c>
      <c r="L223" s="16">
        <v>350</v>
      </c>
      <c r="M223" s="16" t="str">
        <f>IF(electric_vehicles_spec_2025_csv[[#This Row],[range_km]]&lt;=200, "0–200 km",IF(electric_vehicles_spec_2025_csv[[#This Row],[range_km]]&lt;=400, "201–400 km", "401+ km"))</f>
        <v>201–400 km</v>
      </c>
      <c r="N223" s="16">
        <v>6</v>
      </c>
      <c r="O223" s="16" t="str">
        <f>IF(electric_vehicles_spec_2025_csv[[#This Row],[acceleration_0_100_s]]&lt;4,"0–3.9 s",IF(electric_vehicles_spec_2025_csv[[#This Row],[acceleration_0_100_s]]&lt;6,"4.0–5.9 s",IF(electric_vehicles_spec_2025_csv[[#This Row],[acceleration_0_100_s]]&lt;8,"6.0–7.9 s","8.0+ s")))</f>
        <v>6.0–7.9 s</v>
      </c>
      <c r="P223" s="16">
        <v>100</v>
      </c>
      <c r="Q223" s="16" t="str">
        <f>IF(electric_vehicles_spec_2025_csv[[#This Row],[fast_charging_power_kw_dc]]&lt;50,"0–49 kW",IF(electric_vehicles_spec_2025_csv[[#This Row],[fast_charging_power_kw_dc]]&lt;100,"50–99 kW",IF(electric_vehicles_spec_2025_csv[[#This Row],[fast_charging_power_kw_dc]]&lt;150,"100–149 kW","150+ kW")))</f>
        <v>100–149 kW</v>
      </c>
      <c r="R223" s="16" t="s">
        <v>25</v>
      </c>
      <c r="S223" s="16">
        <v>1800</v>
      </c>
      <c r="T223" s="16" t="s">
        <v>602</v>
      </c>
      <c r="U223" s="16">
        <v>5</v>
      </c>
      <c r="V223" s="16" t="s">
        <v>70</v>
      </c>
      <c r="W223" s="16" t="s">
        <v>43</v>
      </c>
      <c r="X223" s="16">
        <v>4463</v>
      </c>
      <c r="Y223" s="16">
        <v>1834</v>
      </c>
      <c r="Z223" s="16">
        <v>1620</v>
      </c>
      <c r="AA223" s="16" t="s">
        <v>36</v>
      </c>
      <c r="AB223" s="16" t="s">
        <v>609</v>
      </c>
    </row>
    <row r="224" spans="1:28" x14ac:dyDescent="0.3">
      <c r="A224" s="16" t="s">
        <v>596</v>
      </c>
      <c r="B224" s="16" t="s">
        <v>610</v>
      </c>
      <c r="C224" s="16">
        <v>160</v>
      </c>
      <c r="D22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4" s="16">
        <v>70.5</v>
      </c>
      <c r="F224" s="16" t="str">
        <f>IF(electric_vehicles_spec_2025_csv[[#This Row],[battery_capacity_kWh]]&lt;=30, "0–30 kWh", IF(electric_vehicles_spec_2025_csv[[#This Row],[battery_capacity_kWh]]&lt;=60, "31–60 kWh", "61+ kWh"))</f>
        <v>61+ kWh</v>
      </c>
      <c r="G224" s="16" t="s">
        <v>24</v>
      </c>
      <c r="H224" s="16"/>
      <c r="I224" s="16">
        <v>385</v>
      </c>
      <c r="J224" s="16">
        <v>152</v>
      </c>
      <c r="K224" s="16" t="str">
        <f t="shared" si="3"/>
        <v>131–160 Wh/km</v>
      </c>
      <c r="L224" s="16">
        <v>415</v>
      </c>
      <c r="M224" s="16" t="str">
        <f>IF(electric_vehicles_spec_2025_csv[[#This Row],[range_km]]&lt;=200, "0–200 km",IF(electric_vehicles_spec_2025_csv[[#This Row],[range_km]]&lt;=400, "201–400 km", "401+ km"))</f>
        <v>401+ km</v>
      </c>
      <c r="N224" s="16">
        <v>8.9</v>
      </c>
      <c r="O224" s="16" t="str">
        <f>IF(electric_vehicles_spec_2025_csv[[#This Row],[acceleration_0_100_s]]&lt;4,"0–3.9 s",IF(electric_vehicles_spec_2025_csv[[#This Row],[acceleration_0_100_s]]&lt;6,"4.0–5.9 s",IF(electric_vehicles_spec_2025_csv[[#This Row],[acceleration_0_100_s]]&lt;8,"6.0–7.9 s","8.0+ s")))</f>
        <v>8.0+ s</v>
      </c>
      <c r="P224" s="16">
        <v>90</v>
      </c>
      <c r="Q224" s="16" t="str">
        <f>IF(electric_vehicles_spec_2025_csv[[#This Row],[fast_charging_power_kw_dc]]&lt;50,"0–49 kW",IF(electric_vehicles_spec_2025_csv[[#This Row],[fast_charging_power_kw_dc]]&lt;100,"50–99 kW",IF(electric_vehicles_spec_2025_csv[[#This Row],[fast_charging_power_kw_dc]]&lt;150,"100–149 kW","150+ kW")))</f>
        <v>50–99 kW</v>
      </c>
      <c r="R224" s="16" t="s">
        <v>25</v>
      </c>
      <c r="S224" s="16">
        <v>1400</v>
      </c>
      <c r="T224" s="16" t="s">
        <v>611</v>
      </c>
      <c r="U224" s="16">
        <v>7</v>
      </c>
      <c r="V224" s="16" t="s">
        <v>27</v>
      </c>
      <c r="W224" s="16" t="s">
        <v>43</v>
      </c>
      <c r="X224" s="16">
        <v>4684</v>
      </c>
      <c r="Y224" s="16">
        <v>1834</v>
      </c>
      <c r="Z224" s="16">
        <v>1667</v>
      </c>
      <c r="AA224" s="16" t="s">
        <v>36</v>
      </c>
      <c r="AB224" s="16" t="s">
        <v>612</v>
      </c>
    </row>
    <row r="225" spans="1:28" x14ac:dyDescent="0.3">
      <c r="A225" s="16" t="s">
        <v>596</v>
      </c>
      <c r="B225" s="16" t="s">
        <v>613</v>
      </c>
      <c r="C225" s="16">
        <v>160</v>
      </c>
      <c r="D22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5" s="16">
        <v>66.5</v>
      </c>
      <c r="F225" s="16" t="str">
        <f>IF(electric_vehicles_spec_2025_csv[[#This Row],[battery_capacity_kWh]]&lt;=30, "0–30 kWh", IF(electric_vehicles_spec_2025_csv[[#This Row],[battery_capacity_kWh]]&lt;=60, "31–60 kWh", "61+ kWh"))</f>
        <v>61+ kWh</v>
      </c>
      <c r="G225" s="16" t="s">
        <v>24</v>
      </c>
      <c r="H225" s="16">
        <v>300</v>
      </c>
      <c r="I225" s="16">
        <v>390</v>
      </c>
      <c r="J225" s="16">
        <v>168</v>
      </c>
      <c r="K225" s="16" t="str">
        <f t="shared" si="3"/>
        <v>161+ Wh/km</v>
      </c>
      <c r="L225" s="16">
        <v>345</v>
      </c>
      <c r="M225" s="16" t="str">
        <f>IF(electric_vehicles_spec_2025_csv[[#This Row],[range_km]]&lt;=200, "0–200 km",IF(electric_vehicles_spec_2025_csv[[#This Row],[range_km]]&lt;=400, "201–400 km", "401+ km"))</f>
        <v>201–400 km</v>
      </c>
      <c r="N225" s="16">
        <v>8</v>
      </c>
      <c r="O225" s="16" t="str">
        <f>IF(electric_vehicles_spec_2025_csv[[#This Row],[acceleration_0_100_s]]&lt;4,"0–3.9 s",IF(electric_vehicles_spec_2025_csv[[#This Row],[acceleration_0_100_s]]&lt;6,"4.0–5.9 s",IF(electric_vehicles_spec_2025_csv[[#This Row],[acceleration_0_100_s]]&lt;8,"6.0–7.9 s","8.0+ s")))</f>
        <v>8.0+ s</v>
      </c>
      <c r="P225" s="16">
        <v>100</v>
      </c>
      <c r="Q225" s="16" t="str">
        <f>IF(electric_vehicles_spec_2025_csv[[#This Row],[fast_charging_power_kw_dc]]&lt;50,"0–49 kW",IF(electric_vehicles_spec_2025_csv[[#This Row],[fast_charging_power_kw_dc]]&lt;100,"50–99 kW",IF(electric_vehicles_spec_2025_csv[[#This Row],[fast_charging_power_kw_dc]]&lt;150,"100–149 kW","150+ kW")))</f>
        <v>100–149 kW</v>
      </c>
      <c r="R225" s="16" t="s">
        <v>25</v>
      </c>
      <c r="S225" s="16">
        <v>1700</v>
      </c>
      <c r="T225" s="16" t="s">
        <v>611</v>
      </c>
      <c r="U225" s="16">
        <v>7</v>
      </c>
      <c r="V225" s="16" t="s">
        <v>70</v>
      </c>
      <c r="W225" s="16" t="s">
        <v>43</v>
      </c>
      <c r="X225" s="16">
        <v>4684</v>
      </c>
      <c r="Y225" s="16">
        <v>1834</v>
      </c>
      <c r="Z225" s="16">
        <v>1667</v>
      </c>
      <c r="AA225" s="16" t="s">
        <v>36</v>
      </c>
      <c r="AB225" s="16" t="s">
        <v>614</v>
      </c>
    </row>
    <row r="226" spans="1:28" x14ac:dyDescent="0.3">
      <c r="A226" s="16" t="s">
        <v>596</v>
      </c>
      <c r="B226" s="16" t="s">
        <v>615</v>
      </c>
      <c r="C226" s="16">
        <v>160</v>
      </c>
      <c r="D22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26" s="16">
        <v>66.5</v>
      </c>
      <c r="F226" s="16" t="str">
        <f>IF(electric_vehicles_spec_2025_csv[[#This Row],[battery_capacity_kWh]]&lt;=30, "0–30 kWh", IF(electric_vehicles_spec_2025_csv[[#This Row],[battery_capacity_kWh]]&lt;=60, "31–60 kWh", "61+ kWh"))</f>
        <v>61+ kWh</v>
      </c>
      <c r="G226" s="16" t="s">
        <v>24</v>
      </c>
      <c r="H226" s="16">
        <v>300</v>
      </c>
      <c r="I226" s="16">
        <v>520</v>
      </c>
      <c r="J226" s="16">
        <v>168</v>
      </c>
      <c r="K226" s="16" t="str">
        <f t="shared" si="3"/>
        <v>161+ Wh/km</v>
      </c>
      <c r="L226" s="16">
        <v>345</v>
      </c>
      <c r="M226" s="16" t="str">
        <f>IF(electric_vehicles_spec_2025_csv[[#This Row],[range_km]]&lt;=200, "0–200 km",IF(electric_vehicles_spec_2025_csv[[#This Row],[range_km]]&lt;=400, "201–400 km", "401+ km"))</f>
        <v>201–400 km</v>
      </c>
      <c r="N226" s="16">
        <v>6.2</v>
      </c>
      <c r="O226" s="16" t="str">
        <f>IF(electric_vehicles_spec_2025_csv[[#This Row],[acceleration_0_100_s]]&lt;4,"0–3.9 s",IF(electric_vehicles_spec_2025_csv[[#This Row],[acceleration_0_100_s]]&lt;6,"4.0–5.9 s",IF(electric_vehicles_spec_2025_csv[[#This Row],[acceleration_0_100_s]]&lt;8,"6.0–7.9 s","8.0+ s")))</f>
        <v>6.0–7.9 s</v>
      </c>
      <c r="P226" s="16">
        <v>100</v>
      </c>
      <c r="Q226" s="16" t="str">
        <f>IF(electric_vehicles_spec_2025_csv[[#This Row],[fast_charging_power_kw_dc]]&lt;50,"0–49 kW",IF(electric_vehicles_spec_2025_csv[[#This Row],[fast_charging_power_kw_dc]]&lt;100,"50–99 kW",IF(electric_vehicles_spec_2025_csv[[#This Row],[fast_charging_power_kw_dc]]&lt;150,"100–149 kW","150+ kW")))</f>
        <v>100–149 kW</v>
      </c>
      <c r="R226" s="16" t="s">
        <v>25</v>
      </c>
      <c r="S226" s="16">
        <v>1700</v>
      </c>
      <c r="T226" s="16" t="s">
        <v>611</v>
      </c>
      <c r="U226" s="16">
        <v>7</v>
      </c>
      <c r="V226" s="16" t="s">
        <v>70</v>
      </c>
      <c r="W226" s="16" t="s">
        <v>43</v>
      </c>
      <c r="X226" s="16">
        <v>4684</v>
      </c>
      <c r="Y226" s="16">
        <v>1834</v>
      </c>
      <c r="Z226" s="16">
        <v>1667</v>
      </c>
      <c r="AA226" s="16" t="s">
        <v>36</v>
      </c>
      <c r="AB226" s="16" t="s">
        <v>616</v>
      </c>
    </row>
    <row r="227" spans="1:28" x14ac:dyDescent="0.3">
      <c r="A227" s="16" t="s">
        <v>596</v>
      </c>
      <c r="B227" s="16" t="s">
        <v>617</v>
      </c>
      <c r="C227" s="16">
        <v>210</v>
      </c>
      <c r="D22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27" s="16">
        <v>89</v>
      </c>
      <c r="F227" s="16" t="str">
        <f>IF(electric_vehicles_spec_2025_csv[[#This Row],[battery_capacity_kWh]]&lt;=30, "0–30 kWh", IF(electric_vehicles_spec_2025_csv[[#This Row],[battery_capacity_kWh]]&lt;=60, "31–60 kWh", "61+ kWh"))</f>
        <v>61+ kWh</v>
      </c>
      <c r="G227" s="16" t="s">
        <v>24</v>
      </c>
      <c r="H227" s="16"/>
      <c r="I227" s="16">
        <v>550</v>
      </c>
      <c r="J227" s="16">
        <v>163</v>
      </c>
      <c r="K227" s="16" t="str">
        <f t="shared" si="3"/>
        <v>161+ Wh/km</v>
      </c>
      <c r="L227" s="16">
        <v>525</v>
      </c>
      <c r="M227" s="16" t="str">
        <f>IF(electric_vehicles_spec_2025_csv[[#This Row],[range_km]]&lt;=200, "0–200 km",IF(electric_vehicles_spec_2025_csv[[#This Row],[range_km]]&lt;=400, "201–400 km", "401+ km"))</f>
        <v>401+ km</v>
      </c>
      <c r="N227" s="16">
        <v>7.3</v>
      </c>
      <c r="O227" s="16" t="str">
        <f>IF(electric_vehicles_spec_2025_csv[[#This Row],[acceleration_0_100_s]]&lt;4,"0–3.9 s",IF(electric_vehicles_spec_2025_csv[[#This Row],[acceleration_0_100_s]]&lt;6,"4.0–5.9 s",IF(electric_vehicles_spec_2025_csv[[#This Row],[acceleration_0_100_s]]&lt;8,"6.0–7.9 s","8.0+ s")))</f>
        <v>6.0–7.9 s</v>
      </c>
      <c r="P227" s="16">
        <v>120</v>
      </c>
      <c r="Q227" s="16" t="str">
        <f>IF(electric_vehicles_spec_2025_csv[[#This Row],[fast_charging_power_kw_dc]]&lt;50,"0–49 kW",IF(electric_vehicles_spec_2025_csv[[#This Row],[fast_charging_power_kw_dc]]&lt;100,"50–99 kW",IF(electric_vehicles_spec_2025_csv[[#This Row],[fast_charging_power_kw_dc]]&lt;150,"100–149 kW","150+ kW")))</f>
        <v>100–149 kW</v>
      </c>
      <c r="R227" s="16" t="s">
        <v>25</v>
      </c>
      <c r="S227" s="16">
        <v>750</v>
      </c>
      <c r="T227" s="16" t="s">
        <v>618</v>
      </c>
      <c r="U227" s="16">
        <v>5</v>
      </c>
      <c r="V227" s="16" t="s">
        <v>63</v>
      </c>
      <c r="W227" s="16" t="s">
        <v>147</v>
      </c>
      <c r="X227" s="16">
        <v>4946</v>
      </c>
      <c r="Y227" s="16">
        <v>1906</v>
      </c>
      <c r="Z227" s="16">
        <v>1503</v>
      </c>
      <c r="AA227" s="16" t="s">
        <v>125</v>
      </c>
      <c r="AB227" s="16" t="s">
        <v>619</v>
      </c>
    </row>
    <row r="228" spans="1:28" x14ac:dyDescent="0.3">
      <c r="A228" s="16" t="s">
        <v>596</v>
      </c>
      <c r="B228" s="16" t="s">
        <v>620</v>
      </c>
      <c r="C228" s="16">
        <v>210</v>
      </c>
      <c r="D22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28" s="16">
        <v>90.6</v>
      </c>
      <c r="F228" s="16" t="str">
        <f>IF(electric_vehicles_spec_2025_csv[[#This Row],[battery_capacity_kWh]]&lt;=30, "0–30 kWh", IF(electric_vehicles_spec_2025_csv[[#This Row],[battery_capacity_kWh]]&lt;=60, "31–60 kWh", "61+ kWh"))</f>
        <v>61+ kWh</v>
      </c>
      <c r="G228" s="16" t="s">
        <v>24</v>
      </c>
      <c r="H228" s="16">
        <v>360</v>
      </c>
      <c r="I228" s="16">
        <v>765</v>
      </c>
      <c r="J228" s="16">
        <v>173</v>
      </c>
      <c r="K228" s="16" t="str">
        <f t="shared" si="3"/>
        <v>161+ Wh/km</v>
      </c>
      <c r="L228" s="16">
        <v>515</v>
      </c>
      <c r="M228" s="16" t="str">
        <f>IF(electric_vehicles_spec_2025_csv[[#This Row],[range_km]]&lt;=200, "0–200 km",IF(electric_vehicles_spec_2025_csv[[#This Row],[range_km]]&lt;=400, "201–400 km", "401+ km"))</f>
        <v>401+ km</v>
      </c>
      <c r="N228" s="16">
        <v>6.3</v>
      </c>
      <c r="O228" s="16" t="str">
        <f>IF(electric_vehicles_spec_2025_csv[[#This Row],[acceleration_0_100_s]]&lt;4,"0–3.9 s",IF(electric_vehicles_spec_2025_csv[[#This Row],[acceleration_0_100_s]]&lt;6,"4.0–5.9 s",IF(electric_vehicles_spec_2025_csv[[#This Row],[acceleration_0_100_s]]&lt;8,"6.0–7.9 s","8.0+ s")))</f>
        <v>6.0–7.9 s</v>
      </c>
      <c r="P228" s="16">
        <v>141</v>
      </c>
      <c r="Q228" s="16" t="str">
        <f>IF(electric_vehicles_spec_2025_csv[[#This Row],[fast_charging_power_kw_dc]]&lt;50,"0–49 kW",IF(electric_vehicles_spec_2025_csv[[#This Row],[fast_charging_power_kw_dc]]&lt;100,"50–99 kW",IF(electric_vehicles_spec_2025_csv[[#This Row],[fast_charging_power_kw_dc]]&lt;150,"100–149 kW","150+ kW")))</f>
        <v>100–149 kW</v>
      </c>
      <c r="R228" s="16" t="s">
        <v>25</v>
      </c>
      <c r="S228" s="16">
        <v>1700</v>
      </c>
      <c r="T228" s="16" t="s">
        <v>618</v>
      </c>
      <c r="U228" s="16">
        <v>5</v>
      </c>
      <c r="V228" s="16" t="s">
        <v>70</v>
      </c>
      <c r="W228" s="16" t="s">
        <v>147</v>
      </c>
      <c r="X228" s="16">
        <v>4946</v>
      </c>
      <c r="Y228" s="16">
        <v>1906</v>
      </c>
      <c r="Z228" s="16">
        <v>1503</v>
      </c>
      <c r="AA228" s="16" t="s">
        <v>125</v>
      </c>
      <c r="AB228" s="16" t="s">
        <v>621</v>
      </c>
    </row>
    <row r="229" spans="1:28" x14ac:dyDescent="0.3">
      <c r="A229" s="16" t="s">
        <v>596</v>
      </c>
      <c r="B229" s="16" t="s">
        <v>622</v>
      </c>
      <c r="C229" s="16">
        <v>210</v>
      </c>
      <c r="D22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29" s="16">
        <v>96</v>
      </c>
      <c r="F229" s="16" t="str">
        <f>IF(electric_vehicles_spec_2025_csv[[#This Row],[battery_capacity_kWh]]&lt;=30, "0–30 kWh", IF(electric_vehicles_spec_2025_csv[[#This Row],[battery_capacity_kWh]]&lt;=60, "31–60 kWh", "61+ kWh"))</f>
        <v>61+ kWh</v>
      </c>
      <c r="G229" s="16" t="s">
        <v>24</v>
      </c>
      <c r="H229" s="16"/>
      <c r="I229" s="16">
        <v>565</v>
      </c>
      <c r="J229" s="16">
        <v>164</v>
      </c>
      <c r="K229" s="16" t="str">
        <f t="shared" si="3"/>
        <v>161+ Wh/km</v>
      </c>
      <c r="L229" s="16">
        <v>555</v>
      </c>
      <c r="M229" s="16" t="str">
        <f>IF(electric_vehicles_spec_2025_csv[[#This Row],[range_km]]&lt;=200, "0–200 km",IF(electric_vehicles_spec_2025_csv[[#This Row],[range_km]]&lt;=400, "201–400 km", "401+ km"))</f>
        <v>401+ km</v>
      </c>
      <c r="N229" s="16">
        <v>6.5</v>
      </c>
      <c r="O229" s="16" t="str">
        <f>IF(electric_vehicles_spec_2025_csv[[#This Row],[acceleration_0_100_s]]&lt;4,"0–3.9 s",IF(electric_vehicles_spec_2025_csv[[#This Row],[acceleration_0_100_s]]&lt;6,"4.0–5.9 s",IF(electric_vehicles_spec_2025_csv[[#This Row],[acceleration_0_100_s]]&lt;8,"6.0–7.9 s","8.0+ s")))</f>
        <v>6.0–7.9 s</v>
      </c>
      <c r="P229" s="16">
        <v>141</v>
      </c>
      <c r="Q229" s="16" t="str">
        <f>IF(electric_vehicles_spec_2025_csv[[#This Row],[fast_charging_power_kw_dc]]&lt;50,"0–49 kW",IF(electric_vehicles_spec_2025_csv[[#This Row],[fast_charging_power_kw_dc]]&lt;100,"50–99 kW",IF(electric_vehicles_spec_2025_csv[[#This Row],[fast_charging_power_kw_dc]]&lt;150,"100–149 kW","150+ kW")))</f>
        <v>100–149 kW</v>
      </c>
      <c r="R229" s="16" t="s">
        <v>25</v>
      </c>
      <c r="S229" s="16">
        <v>750</v>
      </c>
      <c r="T229" s="16" t="s">
        <v>618</v>
      </c>
      <c r="U229" s="16">
        <v>5</v>
      </c>
      <c r="V229" s="16" t="s">
        <v>63</v>
      </c>
      <c r="W229" s="16" t="s">
        <v>147</v>
      </c>
      <c r="X229" s="16">
        <v>4946</v>
      </c>
      <c r="Y229" s="16">
        <v>1906</v>
      </c>
      <c r="Z229" s="16">
        <v>1510</v>
      </c>
      <c r="AA229" s="16" t="s">
        <v>125</v>
      </c>
      <c r="AB229" s="16" t="s">
        <v>623</v>
      </c>
    </row>
    <row r="230" spans="1:28" x14ac:dyDescent="0.3">
      <c r="A230" s="16" t="s">
        <v>596</v>
      </c>
      <c r="B230" s="16" t="s">
        <v>624</v>
      </c>
      <c r="C230" s="16">
        <v>210</v>
      </c>
      <c r="D23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0" s="16">
        <v>90.6</v>
      </c>
      <c r="F230" s="16" t="str">
        <f>IF(electric_vehicles_spec_2025_csv[[#This Row],[battery_capacity_kWh]]&lt;=30, "0–30 kWh", IF(electric_vehicles_spec_2025_csv[[#This Row],[battery_capacity_kWh]]&lt;=60, "31–60 kWh", "61+ kWh"))</f>
        <v>61+ kWh</v>
      </c>
      <c r="G230" s="16" t="s">
        <v>24</v>
      </c>
      <c r="H230" s="16">
        <v>360</v>
      </c>
      <c r="I230" s="16">
        <v>858</v>
      </c>
      <c r="J230" s="16">
        <v>173</v>
      </c>
      <c r="K230" s="16" t="str">
        <f t="shared" si="3"/>
        <v>161+ Wh/km</v>
      </c>
      <c r="L230" s="16">
        <v>505</v>
      </c>
      <c r="M230" s="16" t="str">
        <f>IF(electric_vehicles_spec_2025_csv[[#This Row],[range_km]]&lt;=200, "0–200 km",IF(electric_vehicles_spec_2025_csv[[#This Row],[range_km]]&lt;=400, "201–400 km", "401+ km"))</f>
        <v>401+ km</v>
      </c>
      <c r="N230" s="16">
        <v>4.7</v>
      </c>
      <c r="O230" s="16" t="str">
        <f>IF(electric_vehicles_spec_2025_csv[[#This Row],[acceleration_0_100_s]]&lt;4,"0–3.9 s",IF(electric_vehicles_spec_2025_csv[[#This Row],[acceleration_0_100_s]]&lt;6,"4.0–5.9 s",IF(electric_vehicles_spec_2025_csv[[#This Row],[acceleration_0_100_s]]&lt;8,"6.0–7.9 s","8.0+ s")))</f>
        <v>4.0–5.9 s</v>
      </c>
      <c r="P230" s="16">
        <v>141</v>
      </c>
      <c r="Q230" s="16" t="str">
        <f>IF(electric_vehicles_spec_2025_csv[[#This Row],[fast_charging_power_kw_dc]]&lt;50,"0–49 kW",IF(electric_vehicles_spec_2025_csv[[#This Row],[fast_charging_power_kw_dc]]&lt;100,"50–99 kW",IF(electric_vehicles_spec_2025_csv[[#This Row],[fast_charging_power_kw_dc]]&lt;150,"100–149 kW","150+ kW")))</f>
        <v>100–149 kW</v>
      </c>
      <c r="R230" s="16" t="s">
        <v>25</v>
      </c>
      <c r="S230" s="16">
        <v>1700</v>
      </c>
      <c r="T230" s="16" t="s">
        <v>618</v>
      </c>
      <c r="U230" s="16">
        <v>5</v>
      </c>
      <c r="V230" s="16" t="s">
        <v>70</v>
      </c>
      <c r="W230" s="16" t="s">
        <v>147</v>
      </c>
      <c r="X230" s="16">
        <v>4946</v>
      </c>
      <c r="Y230" s="16">
        <v>1906</v>
      </c>
      <c r="Z230" s="16">
        <v>1503</v>
      </c>
      <c r="AA230" s="16" t="s">
        <v>125</v>
      </c>
      <c r="AB230" s="16" t="s">
        <v>625</v>
      </c>
    </row>
    <row r="231" spans="1:28" x14ac:dyDescent="0.3">
      <c r="A231" s="16" t="s">
        <v>596</v>
      </c>
      <c r="B231" s="16" t="s">
        <v>626</v>
      </c>
      <c r="C231" s="16">
        <v>210</v>
      </c>
      <c r="D23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1" s="16">
        <v>90.6</v>
      </c>
      <c r="F231" s="16" t="str">
        <f>IF(electric_vehicles_spec_2025_csv[[#This Row],[battery_capacity_kWh]]&lt;=30, "0–30 kWh", IF(electric_vehicles_spec_2025_csv[[#This Row],[battery_capacity_kWh]]&lt;=60, "31–60 kWh", "61+ kWh"))</f>
        <v>61+ kWh</v>
      </c>
      <c r="G231" s="16" t="s">
        <v>24</v>
      </c>
      <c r="H231" s="16">
        <v>360</v>
      </c>
      <c r="I231" s="16">
        <v>858</v>
      </c>
      <c r="J231" s="16">
        <v>207</v>
      </c>
      <c r="K231" s="16" t="str">
        <f t="shared" si="3"/>
        <v>161+ Wh/km</v>
      </c>
      <c r="L231" s="16">
        <v>450</v>
      </c>
      <c r="M231" s="16" t="str">
        <f>IF(electric_vehicles_spec_2025_csv[[#This Row],[range_km]]&lt;=200, "0–200 km",IF(electric_vehicles_spec_2025_csv[[#This Row],[range_km]]&lt;=400, "201–400 km", "401+ km"))</f>
        <v>401+ km</v>
      </c>
      <c r="N231" s="16">
        <v>4.2</v>
      </c>
      <c r="O231" s="16" t="str">
        <f>IF(electric_vehicles_spec_2025_csv[[#This Row],[acceleration_0_100_s]]&lt;4,"0–3.9 s",IF(electric_vehicles_spec_2025_csv[[#This Row],[acceleration_0_100_s]]&lt;6,"4.0–5.9 s",IF(electric_vehicles_spec_2025_csv[[#This Row],[acceleration_0_100_s]]&lt;8,"6.0–7.9 s","8.0+ s")))</f>
        <v>4.0–5.9 s</v>
      </c>
      <c r="P231" s="16">
        <v>141</v>
      </c>
      <c r="Q231" s="16" t="str">
        <f>IF(electric_vehicles_spec_2025_csv[[#This Row],[fast_charging_power_kw_dc]]&lt;50,"0–49 kW",IF(electric_vehicles_spec_2025_csv[[#This Row],[fast_charging_power_kw_dc]]&lt;100,"50–99 kW",IF(electric_vehicles_spec_2025_csv[[#This Row],[fast_charging_power_kw_dc]]&lt;150,"100–149 kW","150+ kW")))</f>
        <v>100–149 kW</v>
      </c>
      <c r="R231" s="16" t="s">
        <v>25</v>
      </c>
      <c r="S231" s="16">
        <v>1700</v>
      </c>
      <c r="T231" s="16" t="s">
        <v>618</v>
      </c>
      <c r="U231" s="16">
        <v>5</v>
      </c>
      <c r="V231" s="16" t="s">
        <v>70</v>
      </c>
      <c r="W231" s="16" t="s">
        <v>147</v>
      </c>
      <c r="X231" s="16">
        <v>4964</v>
      </c>
      <c r="Y231" s="16">
        <v>1906</v>
      </c>
      <c r="Z231" s="16">
        <v>1495</v>
      </c>
      <c r="AA231" s="16" t="s">
        <v>125</v>
      </c>
      <c r="AB231" s="16" t="s">
        <v>627</v>
      </c>
    </row>
    <row r="232" spans="1:28" x14ac:dyDescent="0.3">
      <c r="A232" s="16" t="s">
        <v>596</v>
      </c>
      <c r="B232" s="16" t="s">
        <v>628</v>
      </c>
      <c r="C232" s="16">
        <v>220</v>
      </c>
      <c r="D23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2" s="16">
        <v>90.6</v>
      </c>
      <c r="F232" s="16" t="str">
        <f>IF(electric_vehicles_spec_2025_csv[[#This Row],[battery_capacity_kWh]]&lt;=30, "0–30 kWh", IF(electric_vehicles_spec_2025_csv[[#This Row],[battery_capacity_kWh]]&lt;=60, "31–60 kWh", "61+ kWh"))</f>
        <v>61+ kWh</v>
      </c>
      <c r="G232" s="16" t="s">
        <v>24</v>
      </c>
      <c r="H232" s="16">
        <v>360</v>
      </c>
      <c r="I232" s="16">
        <v>950</v>
      </c>
      <c r="J232" s="16">
        <v>208</v>
      </c>
      <c r="K232" s="16" t="str">
        <f t="shared" si="3"/>
        <v>161+ Wh/km</v>
      </c>
      <c r="L232" s="16">
        <v>450</v>
      </c>
      <c r="M232" s="16" t="str">
        <f>IF(electric_vehicles_spec_2025_csv[[#This Row],[range_km]]&lt;=200, "0–200 km",IF(electric_vehicles_spec_2025_csv[[#This Row],[range_km]]&lt;=400, "201–400 km", "401+ km"))</f>
        <v>401+ km</v>
      </c>
      <c r="N232" s="16">
        <v>3.5</v>
      </c>
      <c r="O232" s="16" t="str">
        <f>IF(electric_vehicles_spec_2025_csv[[#This Row],[acceleration_0_100_s]]&lt;4,"0–3.9 s",IF(electric_vehicles_spec_2025_csv[[#This Row],[acceleration_0_100_s]]&lt;6,"4.0–5.9 s",IF(electric_vehicles_spec_2025_csv[[#This Row],[acceleration_0_100_s]]&lt;8,"6.0–7.9 s","8.0+ s")))</f>
        <v>0–3.9 s</v>
      </c>
      <c r="P232" s="16">
        <v>141</v>
      </c>
      <c r="Q232" s="16" t="str">
        <f>IF(electric_vehicles_spec_2025_csv[[#This Row],[fast_charging_power_kw_dc]]&lt;50,"0–49 kW",IF(electric_vehicles_spec_2025_csv[[#This Row],[fast_charging_power_kw_dc]]&lt;100,"50–99 kW",IF(electric_vehicles_spec_2025_csv[[#This Row],[fast_charging_power_kw_dc]]&lt;150,"100–149 kW","150+ kW")))</f>
        <v>100–149 kW</v>
      </c>
      <c r="R232" s="16" t="s">
        <v>25</v>
      </c>
      <c r="S232" s="16">
        <v>1700</v>
      </c>
      <c r="T232" s="16" t="s">
        <v>618</v>
      </c>
      <c r="U232" s="16">
        <v>5</v>
      </c>
      <c r="V232" s="16" t="s">
        <v>70</v>
      </c>
      <c r="W232" s="16" t="s">
        <v>147</v>
      </c>
      <c r="X232" s="16">
        <v>4964</v>
      </c>
      <c r="Y232" s="16">
        <v>1906</v>
      </c>
      <c r="Z232" s="16">
        <v>1495</v>
      </c>
      <c r="AA232" s="16" t="s">
        <v>125</v>
      </c>
      <c r="AB232" s="16" t="s">
        <v>629</v>
      </c>
    </row>
    <row r="233" spans="1:28" x14ac:dyDescent="0.3">
      <c r="A233" s="16" t="s">
        <v>596</v>
      </c>
      <c r="B233" s="16" t="s">
        <v>630</v>
      </c>
      <c r="C233" s="16">
        <v>210</v>
      </c>
      <c r="D23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3" s="16">
        <v>90.6</v>
      </c>
      <c r="F233" s="16" t="str">
        <f>IF(electric_vehicles_spec_2025_csv[[#This Row],[battery_capacity_kWh]]&lt;=30, "0–30 kWh", IF(electric_vehicles_spec_2025_csv[[#This Row],[battery_capacity_kWh]]&lt;=60, "31–60 kWh", "61+ kWh"))</f>
        <v>61+ kWh</v>
      </c>
      <c r="G233" s="16" t="s">
        <v>24</v>
      </c>
      <c r="H233" s="16"/>
      <c r="I233" s="16">
        <v>550</v>
      </c>
      <c r="J233" s="16">
        <v>182</v>
      </c>
      <c r="K233" s="16" t="str">
        <f t="shared" si="3"/>
        <v>161+ Wh/km</v>
      </c>
      <c r="L233" s="16">
        <v>450</v>
      </c>
      <c r="M233" s="16" t="str">
        <f>IF(electric_vehicles_spec_2025_csv[[#This Row],[range_km]]&lt;=200, "0–200 km",IF(electric_vehicles_spec_2025_csv[[#This Row],[range_km]]&lt;=400, "201–400 km", "401+ km"))</f>
        <v>401+ km</v>
      </c>
      <c r="N233" s="16">
        <v>7.6</v>
      </c>
      <c r="O233" s="16" t="str">
        <f>IF(electric_vehicles_spec_2025_csv[[#This Row],[acceleration_0_100_s]]&lt;4,"0–3.9 s",IF(electric_vehicles_spec_2025_csv[[#This Row],[acceleration_0_100_s]]&lt;6,"4.0–5.9 s",IF(electric_vehicles_spec_2025_csv[[#This Row],[acceleration_0_100_s]]&lt;8,"6.0–7.9 s","8.0+ s")))</f>
        <v>6.0–7.9 s</v>
      </c>
      <c r="P233" s="16">
        <v>141</v>
      </c>
      <c r="Q233" s="16" t="str">
        <f>IF(electric_vehicles_spec_2025_csv[[#This Row],[fast_charging_power_kw_dc]]&lt;50,"0–49 kW",IF(electric_vehicles_spec_2025_csv[[#This Row],[fast_charging_power_kw_dc]]&lt;100,"50–99 kW",IF(electric_vehicles_spec_2025_csv[[#This Row],[fast_charging_power_kw_dc]]&lt;150,"100–149 kW","150+ kW")))</f>
        <v>100–149 kW</v>
      </c>
      <c r="R233" s="16" t="s">
        <v>25</v>
      </c>
      <c r="S233" s="16">
        <v>750</v>
      </c>
      <c r="T233" s="16" t="s">
        <v>80</v>
      </c>
      <c r="U233" s="16">
        <v>5</v>
      </c>
      <c r="V233" s="16" t="s">
        <v>63</v>
      </c>
      <c r="W233" s="16" t="s">
        <v>64</v>
      </c>
      <c r="X233" s="16">
        <v>4863</v>
      </c>
      <c r="Y233" s="16">
        <v>1940</v>
      </c>
      <c r="Z233" s="16">
        <v>1685</v>
      </c>
      <c r="AA233" s="16" t="s">
        <v>36</v>
      </c>
      <c r="AB233" s="16" t="s">
        <v>631</v>
      </c>
    </row>
    <row r="234" spans="1:28" x14ac:dyDescent="0.3">
      <c r="A234" s="16" t="s">
        <v>596</v>
      </c>
      <c r="B234" s="16" t="s">
        <v>632</v>
      </c>
      <c r="C234" s="16">
        <v>210</v>
      </c>
      <c r="D23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4" s="16">
        <v>90.6</v>
      </c>
      <c r="F234" s="16" t="str">
        <f>IF(electric_vehicles_spec_2025_csv[[#This Row],[battery_capacity_kWh]]&lt;=30, "0–30 kWh", IF(electric_vehicles_spec_2025_csv[[#This Row],[battery_capacity_kWh]]&lt;=60, "31–60 kWh", "61+ kWh"))</f>
        <v>61+ kWh</v>
      </c>
      <c r="G234" s="16" t="s">
        <v>24</v>
      </c>
      <c r="H234" s="16"/>
      <c r="I234" s="16">
        <v>765</v>
      </c>
      <c r="J234" s="16">
        <v>189</v>
      </c>
      <c r="K234" s="16" t="str">
        <f t="shared" si="3"/>
        <v>161+ Wh/km</v>
      </c>
      <c r="L234" s="16">
        <v>435</v>
      </c>
      <c r="M234" s="16" t="str">
        <f>IF(electric_vehicles_spec_2025_csv[[#This Row],[range_km]]&lt;=200, "0–200 km",IF(electric_vehicles_spec_2025_csv[[#This Row],[range_km]]&lt;=400, "201–400 km", "401+ km"))</f>
        <v>401+ km</v>
      </c>
      <c r="N234" s="16">
        <v>6.6</v>
      </c>
      <c r="O234" s="16" t="str">
        <f>IF(electric_vehicles_spec_2025_csv[[#This Row],[acceleration_0_100_s]]&lt;4,"0–3.9 s",IF(electric_vehicles_spec_2025_csv[[#This Row],[acceleration_0_100_s]]&lt;6,"4.0–5.9 s",IF(electric_vehicles_spec_2025_csv[[#This Row],[acceleration_0_100_s]]&lt;8,"6.0–7.9 s","8.0+ s")))</f>
        <v>6.0–7.9 s</v>
      </c>
      <c r="P234" s="16">
        <v>141</v>
      </c>
      <c r="Q234" s="16" t="str">
        <f>IF(electric_vehicles_spec_2025_csv[[#This Row],[fast_charging_power_kw_dc]]&lt;50,"0–49 kW",IF(electric_vehicles_spec_2025_csv[[#This Row],[fast_charging_power_kw_dc]]&lt;100,"50–99 kW",IF(electric_vehicles_spec_2025_csv[[#This Row],[fast_charging_power_kw_dc]]&lt;150,"100–149 kW","150+ kW")))</f>
        <v>100–149 kW</v>
      </c>
      <c r="R234" s="16" t="s">
        <v>25</v>
      </c>
      <c r="S234" s="16">
        <v>1800</v>
      </c>
      <c r="T234" s="16" t="s">
        <v>80</v>
      </c>
      <c r="U234" s="16">
        <v>5</v>
      </c>
      <c r="V234" s="16" t="s">
        <v>70</v>
      </c>
      <c r="W234" s="16" t="s">
        <v>64</v>
      </c>
      <c r="X234" s="16">
        <v>4863</v>
      </c>
      <c r="Y234" s="16">
        <v>1940</v>
      </c>
      <c r="Z234" s="16">
        <v>1685</v>
      </c>
      <c r="AA234" s="16" t="s">
        <v>36</v>
      </c>
      <c r="AB234" s="16" t="s">
        <v>633</v>
      </c>
    </row>
    <row r="235" spans="1:28" x14ac:dyDescent="0.3">
      <c r="A235" s="16" t="s">
        <v>596</v>
      </c>
      <c r="B235" s="16" t="s">
        <v>634</v>
      </c>
      <c r="C235" s="16">
        <v>210</v>
      </c>
      <c r="D23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5" s="16">
        <v>96</v>
      </c>
      <c r="F235" s="16" t="str">
        <f>IF(electric_vehicles_spec_2025_csv[[#This Row],[battery_capacity_kWh]]&lt;=30, "0–30 kWh", IF(electric_vehicles_spec_2025_csv[[#This Row],[battery_capacity_kWh]]&lt;=60, "31–60 kWh", "61+ kWh"))</f>
        <v>61+ kWh</v>
      </c>
      <c r="G235" s="16" t="s">
        <v>24</v>
      </c>
      <c r="H235" s="16"/>
      <c r="I235" s="16">
        <v>565</v>
      </c>
      <c r="J235" s="16">
        <v>164</v>
      </c>
      <c r="K235" s="16" t="str">
        <f t="shared" si="3"/>
        <v>161+ Wh/km</v>
      </c>
      <c r="L235" s="16">
        <v>475</v>
      </c>
      <c r="M235" s="16" t="str">
        <f>IF(electric_vehicles_spec_2025_csv[[#This Row],[range_km]]&lt;=200, "0–200 km",IF(electric_vehicles_spec_2025_csv[[#This Row],[range_km]]&lt;=400, "201–400 km", "401+ km"))</f>
        <v>401+ km</v>
      </c>
      <c r="N235" s="16">
        <v>6.9</v>
      </c>
      <c r="O235" s="16" t="str">
        <f>IF(electric_vehicles_spec_2025_csv[[#This Row],[acceleration_0_100_s]]&lt;4,"0–3.9 s",IF(electric_vehicles_spec_2025_csv[[#This Row],[acceleration_0_100_s]]&lt;6,"4.0–5.9 s",IF(electric_vehicles_spec_2025_csv[[#This Row],[acceleration_0_100_s]]&lt;8,"6.0–7.9 s","8.0+ s")))</f>
        <v>6.0–7.9 s</v>
      </c>
      <c r="P235" s="16">
        <v>141</v>
      </c>
      <c r="Q235" s="16" t="str">
        <f>IF(electric_vehicles_spec_2025_csv[[#This Row],[fast_charging_power_kw_dc]]&lt;50,"0–49 kW",IF(electric_vehicles_spec_2025_csv[[#This Row],[fast_charging_power_kw_dc]]&lt;100,"50–99 kW",IF(electric_vehicles_spec_2025_csv[[#This Row],[fast_charging_power_kw_dc]]&lt;150,"100–149 kW","150+ kW")))</f>
        <v>100–149 kW</v>
      </c>
      <c r="R235" s="16" t="s">
        <v>25</v>
      </c>
      <c r="S235" s="16">
        <v>750</v>
      </c>
      <c r="T235" s="16" t="s">
        <v>80</v>
      </c>
      <c r="U235" s="16">
        <v>5</v>
      </c>
      <c r="V235" s="16" t="s">
        <v>63</v>
      </c>
      <c r="W235" s="16" t="s">
        <v>64</v>
      </c>
      <c r="X235" s="16">
        <v>4863</v>
      </c>
      <c r="Y235" s="16">
        <v>1940</v>
      </c>
      <c r="Z235" s="16">
        <v>1685</v>
      </c>
      <c r="AA235" s="16" t="s">
        <v>36</v>
      </c>
      <c r="AB235" s="16" t="s">
        <v>635</v>
      </c>
    </row>
    <row r="236" spans="1:28" x14ac:dyDescent="0.3">
      <c r="A236" s="16" t="s">
        <v>596</v>
      </c>
      <c r="B236" s="16" t="s">
        <v>636</v>
      </c>
      <c r="C236" s="16">
        <v>210</v>
      </c>
      <c r="D23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6" s="16">
        <v>96</v>
      </c>
      <c r="F236" s="16" t="str">
        <f>IF(electric_vehicles_spec_2025_csv[[#This Row],[battery_capacity_kWh]]&lt;=30, "0–30 kWh", IF(electric_vehicles_spec_2025_csv[[#This Row],[battery_capacity_kWh]]&lt;=60, "31–60 kWh", "61+ kWh"))</f>
        <v>61+ kWh</v>
      </c>
      <c r="G236" s="16" t="s">
        <v>24</v>
      </c>
      <c r="H236" s="16"/>
      <c r="I236" s="16">
        <v>858</v>
      </c>
      <c r="J236" s="16">
        <v>187</v>
      </c>
      <c r="K236" s="16" t="str">
        <f t="shared" si="3"/>
        <v>161+ Wh/km</v>
      </c>
      <c r="L236" s="16">
        <v>455</v>
      </c>
      <c r="M236" s="16" t="str">
        <f>IF(electric_vehicles_spec_2025_csv[[#This Row],[range_km]]&lt;=200, "0–200 km",IF(electric_vehicles_spec_2025_csv[[#This Row],[range_km]]&lt;=400, "201–400 km", "401+ km"))</f>
        <v>401+ km</v>
      </c>
      <c r="N236" s="16">
        <v>4.9000000000000004</v>
      </c>
      <c r="O236" s="16" t="str">
        <f>IF(electric_vehicles_spec_2025_csv[[#This Row],[acceleration_0_100_s]]&lt;4,"0–3.9 s",IF(electric_vehicles_spec_2025_csv[[#This Row],[acceleration_0_100_s]]&lt;6,"4.0–5.9 s",IF(electric_vehicles_spec_2025_csv[[#This Row],[acceleration_0_100_s]]&lt;8,"6.0–7.9 s","8.0+ s")))</f>
        <v>4.0–5.9 s</v>
      </c>
      <c r="P236" s="16">
        <v>141</v>
      </c>
      <c r="Q236" s="16" t="str">
        <f>IF(electric_vehicles_spec_2025_csv[[#This Row],[fast_charging_power_kw_dc]]&lt;50,"0–49 kW",IF(electric_vehicles_spec_2025_csv[[#This Row],[fast_charging_power_kw_dc]]&lt;100,"50–99 kW",IF(electric_vehicles_spec_2025_csv[[#This Row],[fast_charging_power_kw_dc]]&lt;150,"100–149 kW","150+ kW")))</f>
        <v>100–149 kW</v>
      </c>
      <c r="R236" s="16" t="s">
        <v>25</v>
      </c>
      <c r="S236" s="16">
        <v>1800</v>
      </c>
      <c r="T236" s="16" t="s">
        <v>80</v>
      </c>
      <c r="U236" s="16">
        <v>5</v>
      </c>
      <c r="V236" s="16" t="s">
        <v>70</v>
      </c>
      <c r="W236" s="16" t="s">
        <v>64</v>
      </c>
      <c r="X236" s="16">
        <v>4863</v>
      </c>
      <c r="Y236" s="16">
        <v>1940</v>
      </c>
      <c r="Z236" s="16">
        <v>1685</v>
      </c>
      <c r="AA236" s="16" t="s">
        <v>36</v>
      </c>
      <c r="AB236" s="16" t="s">
        <v>637</v>
      </c>
    </row>
    <row r="237" spans="1:28" x14ac:dyDescent="0.3">
      <c r="A237" s="16" t="s">
        <v>596</v>
      </c>
      <c r="B237" s="16" t="s">
        <v>638</v>
      </c>
      <c r="C237" s="16">
        <v>210</v>
      </c>
      <c r="D23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7" s="16">
        <v>90.6</v>
      </c>
      <c r="F237" s="16" t="str">
        <f>IF(electric_vehicles_spec_2025_csv[[#This Row],[battery_capacity_kWh]]&lt;=30, "0–30 kWh", IF(electric_vehicles_spec_2025_csv[[#This Row],[battery_capacity_kWh]]&lt;=60, "31–60 kWh", "61+ kWh"))</f>
        <v>61+ kWh</v>
      </c>
      <c r="G237" s="16" t="s">
        <v>24</v>
      </c>
      <c r="H237" s="16">
        <v>360</v>
      </c>
      <c r="I237" s="16">
        <v>858</v>
      </c>
      <c r="J237" s="16">
        <v>214</v>
      </c>
      <c r="K237" s="16" t="str">
        <f t="shared" si="3"/>
        <v>161+ Wh/km</v>
      </c>
      <c r="L237" s="16">
        <v>425</v>
      </c>
      <c r="M237" s="16" t="str">
        <f>IF(electric_vehicles_spec_2025_csv[[#This Row],[range_km]]&lt;=200, "0–200 km",IF(electric_vehicles_spec_2025_csv[[#This Row],[range_km]]&lt;=400, "201–400 km", "401+ km"))</f>
        <v>401+ km</v>
      </c>
      <c r="N237" s="16">
        <v>4.3</v>
      </c>
      <c r="O237" s="16" t="str">
        <f>IF(electric_vehicles_spec_2025_csv[[#This Row],[acceleration_0_100_s]]&lt;4,"0–3.9 s",IF(electric_vehicles_spec_2025_csv[[#This Row],[acceleration_0_100_s]]&lt;6,"4.0–5.9 s",IF(electric_vehicles_spec_2025_csv[[#This Row],[acceleration_0_100_s]]&lt;8,"6.0–7.9 s","8.0+ s")))</f>
        <v>4.0–5.9 s</v>
      </c>
      <c r="P237" s="16">
        <v>141</v>
      </c>
      <c r="Q237" s="16" t="str">
        <f>IF(electric_vehicles_spec_2025_csv[[#This Row],[fast_charging_power_kw_dc]]&lt;50,"0–49 kW",IF(electric_vehicles_spec_2025_csv[[#This Row],[fast_charging_power_kw_dc]]&lt;100,"50–99 kW",IF(electric_vehicles_spec_2025_csv[[#This Row],[fast_charging_power_kw_dc]]&lt;150,"100–149 kW","150+ kW")))</f>
        <v>100–149 kW</v>
      </c>
      <c r="R237" s="16" t="s">
        <v>25</v>
      </c>
      <c r="S237" s="16">
        <v>1800</v>
      </c>
      <c r="T237" s="16" t="s">
        <v>80</v>
      </c>
      <c r="U237" s="16">
        <v>5</v>
      </c>
      <c r="V237" s="16" t="s">
        <v>70</v>
      </c>
      <c r="W237" s="16" t="s">
        <v>64</v>
      </c>
      <c r="X237" s="16">
        <v>4879</v>
      </c>
      <c r="Y237" s="16">
        <v>1940</v>
      </c>
      <c r="Z237" s="16">
        <v>1672</v>
      </c>
      <c r="AA237" s="16" t="s">
        <v>36</v>
      </c>
      <c r="AB237" s="16" t="s">
        <v>639</v>
      </c>
    </row>
    <row r="238" spans="1:28" x14ac:dyDescent="0.3">
      <c r="A238" s="16" t="s">
        <v>596</v>
      </c>
      <c r="B238" s="16" t="s">
        <v>640</v>
      </c>
      <c r="C238" s="16">
        <v>240</v>
      </c>
      <c r="D23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238" s="16">
        <v>90.6</v>
      </c>
      <c r="F238" s="16" t="str">
        <f>IF(electric_vehicles_spec_2025_csv[[#This Row],[battery_capacity_kWh]]&lt;=30, "0–30 kWh", IF(electric_vehicles_spec_2025_csv[[#This Row],[battery_capacity_kWh]]&lt;=60, "31–60 kWh", "61+ kWh"))</f>
        <v>61+ kWh</v>
      </c>
      <c r="G238" s="16" t="s">
        <v>24</v>
      </c>
      <c r="H238" s="16">
        <v>360</v>
      </c>
      <c r="I238" s="16">
        <v>1000</v>
      </c>
      <c r="J238" s="16">
        <v>242</v>
      </c>
      <c r="K238" s="16" t="str">
        <f t="shared" si="3"/>
        <v>161+ Wh/km</v>
      </c>
      <c r="L238" s="16">
        <v>420</v>
      </c>
      <c r="M238" s="16" t="str">
        <f>IF(electric_vehicles_spec_2025_csv[[#This Row],[range_km]]&lt;=200, "0–200 km",IF(electric_vehicles_spec_2025_csv[[#This Row],[range_km]]&lt;=400, "201–400 km", "401+ km"))</f>
        <v>401+ km</v>
      </c>
      <c r="N238" s="16">
        <v>3.5</v>
      </c>
      <c r="O238" s="16" t="str">
        <f>IF(electric_vehicles_spec_2025_csv[[#This Row],[acceleration_0_100_s]]&lt;4,"0–3.9 s",IF(electric_vehicles_spec_2025_csv[[#This Row],[acceleration_0_100_s]]&lt;6,"4.0–5.9 s",IF(electric_vehicles_spec_2025_csv[[#This Row],[acceleration_0_100_s]]&lt;8,"6.0–7.9 s","8.0+ s")))</f>
        <v>0–3.9 s</v>
      </c>
      <c r="P238" s="16">
        <v>141</v>
      </c>
      <c r="Q238" s="16" t="str">
        <f>IF(electric_vehicles_spec_2025_csv[[#This Row],[fast_charging_power_kw_dc]]&lt;50,"0–49 kW",IF(electric_vehicles_spec_2025_csv[[#This Row],[fast_charging_power_kw_dc]]&lt;100,"50–99 kW",IF(electric_vehicles_spec_2025_csv[[#This Row],[fast_charging_power_kw_dc]]&lt;150,"100–149 kW","150+ kW")))</f>
        <v>100–149 kW</v>
      </c>
      <c r="R238" s="16" t="s">
        <v>25</v>
      </c>
      <c r="S238" s="16">
        <v>1800</v>
      </c>
      <c r="T238" s="16" t="s">
        <v>80</v>
      </c>
      <c r="U238" s="16">
        <v>5</v>
      </c>
      <c r="V238" s="16" t="s">
        <v>70</v>
      </c>
      <c r="W238" s="16" t="s">
        <v>64</v>
      </c>
      <c r="X238" s="16">
        <v>4879</v>
      </c>
      <c r="Y238" s="16">
        <v>1940</v>
      </c>
      <c r="Z238" s="16">
        <v>1672</v>
      </c>
      <c r="AA238" s="16" t="s">
        <v>36</v>
      </c>
      <c r="AB238" s="16" t="s">
        <v>641</v>
      </c>
    </row>
    <row r="239" spans="1:28" x14ac:dyDescent="0.3">
      <c r="A239" s="16" t="s">
        <v>596</v>
      </c>
      <c r="B239" s="16" t="s">
        <v>642</v>
      </c>
      <c r="C239" s="16">
        <v>210</v>
      </c>
      <c r="D23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39" s="16">
        <v>96</v>
      </c>
      <c r="F239" s="16" t="str">
        <f>IF(electric_vehicles_spec_2025_csv[[#This Row],[battery_capacity_kWh]]&lt;=30, "0–30 kWh", IF(electric_vehicles_spec_2025_csv[[#This Row],[battery_capacity_kWh]]&lt;=60, "31–60 kWh", "61+ kWh"))</f>
        <v>61+ kWh</v>
      </c>
      <c r="G239" s="16" t="s">
        <v>24</v>
      </c>
      <c r="H239" s="16">
        <v>360</v>
      </c>
      <c r="I239" s="16">
        <v>565</v>
      </c>
      <c r="J239" s="16">
        <v>165</v>
      </c>
      <c r="K239" s="16" t="str">
        <f t="shared" si="3"/>
        <v>161+ Wh/km</v>
      </c>
      <c r="L239" s="16">
        <v>570</v>
      </c>
      <c r="M239" s="16" t="str">
        <f>IF(electric_vehicles_spec_2025_csv[[#This Row],[range_km]]&lt;=200, "0–200 km",IF(electric_vehicles_spec_2025_csv[[#This Row],[range_km]]&lt;=400, "201–400 km", "401+ km"))</f>
        <v>401+ km</v>
      </c>
      <c r="N239" s="16">
        <v>6.7</v>
      </c>
      <c r="O239" s="16" t="str">
        <f>IF(electric_vehicles_spec_2025_csv[[#This Row],[acceleration_0_100_s]]&lt;4,"0–3.9 s",IF(electric_vehicles_spec_2025_csv[[#This Row],[acceleration_0_100_s]]&lt;6,"4.0–5.9 s",IF(electric_vehicles_spec_2025_csv[[#This Row],[acceleration_0_100_s]]&lt;8,"6.0–7.9 s","8.0+ s")))</f>
        <v>6.0–7.9 s</v>
      </c>
      <c r="P239" s="16">
        <v>130</v>
      </c>
      <c r="Q239" s="16" t="str">
        <f>IF(electric_vehicles_spec_2025_csv[[#This Row],[fast_charging_power_kw_dc]]&lt;50,"0–49 kW",IF(electric_vehicles_spec_2025_csv[[#This Row],[fast_charging_power_kw_dc]]&lt;100,"50–99 kW",IF(electric_vehicles_spec_2025_csv[[#This Row],[fast_charging_power_kw_dc]]&lt;150,"100–149 kW","150+ kW")))</f>
        <v>100–149 kW</v>
      </c>
      <c r="R239" s="16" t="s">
        <v>25</v>
      </c>
      <c r="S239" s="16">
        <v>750</v>
      </c>
      <c r="T239" s="16" t="s">
        <v>283</v>
      </c>
      <c r="U239" s="16">
        <v>5</v>
      </c>
      <c r="V239" s="16" t="s">
        <v>63</v>
      </c>
      <c r="W239" s="16" t="s">
        <v>124</v>
      </c>
      <c r="X239" s="16">
        <v>5223</v>
      </c>
      <c r="Y239" s="16">
        <v>1926</v>
      </c>
      <c r="Z239" s="16">
        <v>1512</v>
      </c>
      <c r="AA239" s="16" t="s">
        <v>125</v>
      </c>
      <c r="AB239" s="16" t="s">
        <v>643</v>
      </c>
    </row>
    <row r="240" spans="1:28" x14ac:dyDescent="0.3">
      <c r="A240" s="16" t="s">
        <v>596</v>
      </c>
      <c r="B240" s="16" t="s">
        <v>644</v>
      </c>
      <c r="C240" s="16">
        <v>210</v>
      </c>
      <c r="D24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0" s="16">
        <v>118</v>
      </c>
      <c r="F240" s="16" t="str">
        <f>IF(electric_vehicles_spec_2025_csv[[#This Row],[battery_capacity_kWh]]&lt;=30, "0–30 kWh", IF(electric_vehicles_spec_2025_csv[[#This Row],[battery_capacity_kWh]]&lt;=60, "31–60 kWh", "61+ kWh"))</f>
        <v>61+ kWh</v>
      </c>
      <c r="G240" s="16" t="s">
        <v>24</v>
      </c>
      <c r="H240" s="16"/>
      <c r="I240" s="16">
        <v>800</v>
      </c>
      <c r="J240" s="16">
        <v>180</v>
      </c>
      <c r="K240" s="16" t="str">
        <f t="shared" si="3"/>
        <v>161+ Wh/km</v>
      </c>
      <c r="L240" s="16">
        <v>655</v>
      </c>
      <c r="M240" s="16" t="str">
        <f>IF(electric_vehicles_spec_2025_csv[[#This Row],[range_km]]&lt;=200, "0–200 km",IF(electric_vehicles_spec_2025_csv[[#This Row],[range_km]]&lt;=400, "201–400 km", "401+ km"))</f>
        <v>401+ km</v>
      </c>
      <c r="N240" s="16">
        <v>5.7</v>
      </c>
      <c r="O240" s="16" t="str">
        <f>IF(electric_vehicles_spec_2025_csv[[#This Row],[acceleration_0_100_s]]&lt;4,"0–3.9 s",IF(electric_vehicles_spec_2025_csv[[#This Row],[acceleration_0_100_s]]&lt;6,"4.0–5.9 s",IF(electric_vehicles_spec_2025_csv[[#This Row],[acceleration_0_100_s]]&lt;8,"6.0–7.9 s","8.0+ s")))</f>
        <v>4.0–5.9 s</v>
      </c>
      <c r="P240" s="16">
        <v>160</v>
      </c>
      <c r="Q240" s="16" t="str">
        <f>IF(electric_vehicles_spec_2025_csv[[#This Row],[fast_charging_power_kw_dc]]&lt;50,"0–49 kW",IF(electric_vehicles_spec_2025_csv[[#This Row],[fast_charging_power_kw_dc]]&lt;100,"50–99 kW",IF(electric_vehicles_spec_2025_csv[[#This Row],[fast_charging_power_kw_dc]]&lt;150,"100–149 kW","150+ kW")))</f>
        <v>150+ kW</v>
      </c>
      <c r="R240" s="16" t="s">
        <v>25</v>
      </c>
      <c r="S240" s="16">
        <v>1700</v>
      </c>
      <c r="T240" s="16" t="s">
        <v>283</v>
      </c>
      <c r="U240" s="16">
        <v>5</v>
      </c>
      <c r="V240" s="16" t="s">
        <v>70</v>
      </c>
      <c r="W240" s="16" t="s">
        <v>124</v>
      </c>
      <c r="X240" s="16">
        <v>5223</v>
      </c>
      <c r="Y240" s="16">
        <v>1926</v>
      </c>
      <c r="Z240" s="16">
        <v>1518</v>
      </c>
      <c r="AA240" s="16" t="s">
        <v>125</v>
      </c>
      <c r="AB240" s="16" t="s">
        <v>645</v>
      </c>
    </row>
    <row r="241" spans="1:28" x14ac:dyDescent="0.3">
      <c r="A241" s="16" t="s">
        <v>596</v>
      </c>
      <c r="B241" s="16" t="s">
        <v>646</v>
      </c>
      <c r="C241" s="16">
        <v>210</v>
      </c>
      <c r="D24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1" s="16">
        <v>118</v>
      </c>
      <c r="F241" s="16" t="str">
        <f>IF(electric_vehicles_spec_2025_csv[[#This Row],[battery_capacity_kWh]]&lt;=30, "0–30 kWh", IF(electric_vehicles_spec_2025_csv[[#This Row],[battery_capacity_kWh]]&lt;=60, "31–60 kWh", "61+ kWh"))</f>
        <v>61+ kWh</v>
      </c>
      <c r="G241" s="16" t="s">
        <v>24</v>
      </c>
      <c r="H241" s="16"/>
      <c r="I241" s="16">
        <v>568</v>
      </c>
      <c r="J241" s="16">
        <v>173</v>
      </c>
      <c r="K241" s="16" t="str">
        <f t="shared" si="3"/>
        <v>161+ Wh/km</v>
      </c>
      <c r="L241" s="16">
        <v>685</v>
      </c>
      <c r="M241" s="16" t="str">
        <f>IF(electric_vehicles_spec_2025_csv[[#This Row],[range_km]]&lt;=200, "0–200 km",IF(electric_vehicles_spec_2025_csv[[#This Row],[range_km]]&lt;=400, "201–400 km", "401+ km"))</f>
        <v>401+ km</v>
      </c>
      <c r="N241" s="16">
        <v>6.2</v>
      </c>
      <c r="O241" s="16" t="str">
        <f>IF(electric_vehicles_spec_2025_csv[[#This Row],[acceleration_0_100_s]]&lt;4,"0–3.9 s",IF(electric_vehicles_spec_2025_csv[[#This Row],[acceleration_0_100_s]]&lt;6,"4.0–5.9 s",IF(electric_vehicles_spec_2025_csv[[#This Row],[acceleration_0_100_s]]&lt;8,"6.0–7.9 s","8.0+ s")))</f>
        <v>6.0–7.9 s</v>
      </c>
      <c r="P241" s="16">
        <v>160</v>
      </c>
      <c r="Q241" s="16" t="str">
        <f>IF(electric_vehicles_spec_2025_csv[[#This Row],[fast_charging_power_kw_dc]]&lt;50,"0–49 kW",IF(electric_vehicles_spec_2025_csv[[#This Row],[fast_charging_power_kw_dc]]&lt;100,"50–99 kW",IF(electric_vehicles_spec_2025_csv[[#This Row],[fast_charging_power_kw_dc]]&lt;150,"100–149 kW","150+ kW")))</f>
        <v>150+ kW</v>
      </c>
      <c r="R241" s="16" t="s">
        <v>25</v>
      </c>
      <c r="S241" s="16">
        <v>750</v>
      </c>
      <c r="T241" s="16" t="s">
        <v>283</v>
      </c>
      <c r="U241" s="16">
        <v>5</v>
      </c>
      <c r="V241" s="16" t="s">
        <v>63</v>
      </c>
      <c r="W241" s="16" t="s">
        <v>124</v>
      </c>
      <c r="X241" s="16">
        <v>5223</v>
      </c>
      <c r="Y241" s="16">
        <v>1926</v>
      </c>
      <c r="Z241" s="16">
        <v>1518</v>
      </c>
      <c r="AA241" s="16" t="s">
        <v>125</v>
      </c>
      <c r="AB241" s="16" t="s">
        <v>647</v>
      </c>
    </row>
    <row r="242" spans="1:28" x14ac:dyDescent="0.3">
      <c r="A242" s="16" t="s">
        <v>596</v>
      </c>
      <c r="B242" s="16" t="s">
        <v>648</v>
      </c>
      <c r="C242" s="16">
        <v>210</v>
      </c>
      <c r="D24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2" s="16">
        <v>118</v>
      </c>
      <c r="F242" s="16" t="str">
        <f>IF(electric_vehicles_spec_2025_csv[[#This Row],[battery_capacity_kWh]]&lt;=30, "0–30 kWh", IF(electric_vehicles_spec_2025_csv[[#This Row],[battery_capacity_kWh]]&lt;=60, "31–60 kWh", "61+ kWh"))</f>
        <v>61+ kWh</v>
      </c>
      <c r="G242" s="16" t="s">
        <v>24</v>
      </c>
      <c r="H242" s="16"/>
      <c r="I242" s="16">
        <v>828</v>
      </c>
      <c r="J242" s="16">
        <v>180</v>
      </c>
      <c r="K242" s="16" t="str">
        <f t="shared" si="3"/>
        <v>161+ Wh/km</v>
      </c>
      <c r="L242" s="16">
        <v>640</v>
      </c>
      <c r="M242" s="16" t="str">
        <f>IF(electric_vehicles_spec_2025_csv[[#This Row],[range_km]]&lt;=200, "0–200 km",IF(electric_vehicles_spec_2025_csv[[#This Row],[range_km]]&lt;=400, "201–400 km", "401+ km"))</f>
        <v>401+ km</v>
      </c>
      <c r="N242" s="16">
        <v>4.9000000000000004</v>
      </c>
      <c r="O242" s="16" t="str">
        <f>IF(electric_vehicles_spec_2025_csv[[#This Row],[acceleration_0_100_s]]&lt;4,"0–3.9 s",IF(electric_vehicles_spec_2025_csv[[#This Row],[acceleration_0_100_s]]&lt;6,"4.0–5.9 s",IF(electric_vehicles_spec_2025_csv[[#This Row],[acceleration_0_100_s]]&lt;8,"6.0–7.9 s","8.0+ s")))</f>
        <v>4.0–5.9 s</v>
      </c>
      <c r="P242" s="16">
        <v>160</v>
      </c>
      <c r="Q242" s="16" t="str">
        <f>IF(electric_vehicles_spec_2025_csv[[#This Row],[fast_charging_power_kw_dc]]&lt;50,"0–49 kW",IF(electric_vehicles_spec_2025_csv[[#This Row],[fast_charging_power_kw_dc]]&lt;100,"50–99 kW",IF(electric_vehicles_spec_2025_csv[[#This Row],[fast_charging_power_kw_dc]]&lt;150,"100–149 kW","150+ kW")))</f>
        <v>150+ kW</v>
      </c>
      <c r="R242" s="16" t="s">
        <v>25</v>
      </c>
      <c r="S242" s="16">
        <v>1700</v>
      </c>
      <c r="T242" s="16" t="s">
        <v>283</v>
      </c>
      <c r="U242" s="16">
        <v>5</v>
      </c>
      <c r="V242" s="16" t="s">
        <v>70</v>
      </c>
      <c r="W242" s="16" t="s">
        <v>124</v>
      </c>
      <c r="X242" s="16">
        <v>5223</v>
      </c>
      <c r="Y242" s="16">
        <v>1926</v>
      </c>
      <c r="Z242" s="16">
        <v>1518</v>
      </c>
      <c r="AA242" s="16" t="s">
        <v>125</v>
      </c>
      <c r="AB242" s="16" t="s">
        <v>649</v>
      </c>
    </row>
    <row r="243" spans="1:28" x14ac:dyDescent="0.3">
      <c r="A243" s="16" t="s">
        <v>596</v>
      </c>
      <c r="B243" s="16" t="s">
        <v>650</v>
      </c>
      <c r="C243" s="16">
        <v>210</v>
      </c>
      <c r="D24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3" s="16">
        <v>118</v>
      </c>
      <c r="F243" s="16" t="str">
        <f>IF(electric_vehicles_spec_2025_csv[[#This Row],[battery_capacity_kWh]]&lt;=30, "0–30 kWh", IF(electric_vehicles_spec_2025_csv[[#This Row],[battery_capacity_kWh]]&lt;=60, "31–60 kWh", "61+ kWh"))</f>
        <v>61+ kWh</v>
      </c>
      <c r="G243" s="16" t="s">
        <v>24</v>
      </c>
      <c r="H243" s="16"/>
      <c r="I243" s="16">
        <v>858</v>
      </c>
      <c r="J243" s="16">
        <v>180</v>
      </c>
      <c r="K243" s="16" t="str">
        <f t="shared" si="3"/>
        <v>161+ Wh/km</v>
      </c>
      <c r="L243" s="16">
        <v>640</v>
      </c>
      <c r="M243" s="16" t="str">
        <f>IF(electric_vehicles_spec_2025_csv[[#This Row],[range_km]]&lt;=200, "0–200 km",IF(electric_vehicles_spec_2025_csv[[#This Row],[range_km]]&lt;=400, "201–400 km", "401+ km"))</f>
        <v>401+ km</v>
      </c>
      <c r="N243" s="16">
        <v>4.4000000000000004</v>
      </c>
      <c r="O243" s="16" t="str">
        <f>IF(electric_vehicles_spec_2025_csv[[#This Row],[acceleration_0_100_s]]&lt;4,"0–3.9 s",IF(electric_vehicles_spec_2025_csv[[#This Row],[acceleration_0_100_s]]&lt;6,"4.0–5.9 s",IF(electric_vehicles_spec_2025_csv[[#This Row],[acceleration_0_100_s]]&lt;8,"6.0–7.9 s","8.0+ s")))</f>
        <v>4.0–5.9 s</v>
      </c>
      <c r="P243" s="16">
        <v>160</v>
      </c>
      <c r="Q243" s="16" t="str">
        <f>IF(electric_vehicles_spec_2025_csv[[#This Row],[fast_charging_power_kw_dc]]&lt;50,"0–49 kW",IF(electric_vehicles_spec_2025_csv[[#This Row],[fast_charging_power_kw_dc]]&lt;100,"50–99 kW",IF(electric_vehicles_spec_2025_csv[[#This Row],[fast_charging_power_kw_dc]]&lt;150,"100–149 kW","150+ kW")))</f>
        <v>150+ kW</v>
      </c>
      <c r="R243" s="16" t="s">
        <v>25</v>
      </c>
      <c r="S243" s="16">
        <v>1700</v>
      </c>
      <c r="T243" s="16" t="s">
        <v>283</v>
      </c>
      <c r="U243" s="16">
        <v>5</v>
      </c>
      <c r="V243" s="16" t="s">
        <v>70</v>
      </c>
      <c r="W243" s="16" t="s">
        <v>124</v>
      </c>
      <c r="X243" s="16">
        <v>5223</v>
      </c>
      <c r="Y243" s="16">
        <v>1926</v>
      </c>
      <c r="Z243" s="16">
        <v>1518</v>
      </c>
      <c r="AA243" s="16" t="s">
        <v>125</v>
      </c>
      <c r="AB243" s="16" t="s">
        <v>651</v>
      </c>
    </row>
    <row r="244" spans="1:28" x14ac:dyDescent="0.3">
      <c r="A244" s="16" t="s">
        <v>596</v>
      </c>
      <c r="B244" s="16" t="s">
        <v>652</v>
      </c>
      <c r="C244" s="16">
        <v>250</v>
      </c>
      <c r="D24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244" s="16">
        <v>118</v>
      </c>
      <c r="F244" s="16" t="str">
        <f>IF(electric_vehicles_spec_2025_csv[[#This Row],[battery_capacity_kWh]]&lt;=30, "0–30 kWh", IF(electric_vehicles_spec_2025_csv[[#This Row],[battery_capacity_kWh]]&lt;=60, "31–60 kWh", "61+ kWh"))</f>
        <v>61+ kWh</v>
      </c>
      <c r="G244" s="16" t="s">
        <v>24</v>
      </c>
      <c r="H244" s="16"/>
      <c r="I244" s="16">
        <v>1020</v>
      </c>
      <c r="J244" s="16">
        <v>222</v>
      </c>
      <c r="K244" s="16" t="str">
        <f t="shared" si="3"/>
        <v>161+ Wh/km</v>
      </c>
      <c r="L244" s="16">
        <v>585</v>
      </c>
      <c r="M244" s="16" t="str">
        <f>IF(electric_vehicles_spec_2025_csv[[#This Row],[range_km]]&lt;=200, "0–200 km",IF(electric_vehicles_spec_2025_csv[[#This Row],[range_km]]&lt;=400, "201–400 km", "401+ km"))</f>
        <v>401+ km</v>
      </c>
      <c r="N244" s="16">
        <v>3.4</v>
      </c>
      <c r="O244" s="16" t="str">
        <f>IF(electric_vehicles_spec_2025_csv[[#This Row],[acceleration_0_100_s]]&lt;4,"0–3.9 s",IF(electric_vehicles_spec_2025_csv[[#This Row],[acceleration_0_100_s]]&lt;6,"4.0–5.9 s",IF(electric_vehicles_spec_2025_csv[[#This Row],[acceleration_0_100_s]]&lt;8,"6.0–7.9 s","8.0+ s")))</f>
        <v>0–3.9 s</v>
      </c>
      <c r="P244" s="16">
        <v>160</v>
      </c>
      <c r="Q244" s="16" t="str">
        <f>IF(electric_vehicles_spec_2025_csv[[#This Row],[fast_charging_power_kw_dc]]&lt;50,"0–49 kW",IF(electric_vehicles_spec_2025_csv[[#This Row],[fast_charging_power_kw_dc]]&lt;100,"50–99 kW",IF(electric_vehicles_spec_2025_csv[[#This Row],[fast_charging_power_kw_dc]]&lt;150,"100–149 kW","150+ kW")))</f>
        <v>150+ kW</v>
      </c>
      <c r="R244" s="16" t="s">
        <v>25</v>
      </c>
      <c r="S244" s="16">
        <v>1700</v>
      </c>
      <c r="T244" s="16" t="s">
        <v>283</v>
      </c>
      <c r="U244" s="16">
        <v>5</v>
      </c>
      <c r="V244" s="16" t="s">
        <v>70</v>
      </c>
      <c r="W244" s="16" t="s">
        <v>124</v>
      </c>
      <c r="X244" s="16">
        <v>5223</v>
      </c>
      <c r="Y244" s="16">
        <v>1926</v>
      </c>
      <c r="Z244" s="16">
        <v>1518</v>
      </c>
      <c r="AA244" s="16" t="s">
        <v>125</v>
      </c>
      <c r="AB244" s="16" t="s">
        <v>653</v>
      </c>
    </row>
    <row r="245" spans="1:28" x14ac:dyDescent="0.3">
      <c r="A245" s="16" t="s">
        <v>596</v>
      </c>
      <c r="B245" s="16" t="s">
        <v>654</v>
      </c>
      <c r="C245" s="16">
        <v>210</v>
      </c>
      <c r="D24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5" s="16">
        <v>118</v>
      </c>
      <c r="F245" s="16" t="str">
        <f>IF(electric_vehicles_spec_2025_csv[[#This Row],[battery_capacity_kWh]]&lt;=30, "0–30 kWh", IF(electric_vehicles_spec_2025_csv[[#This Row],[battery_capacity_kWh]]&lt;=60, "31–60 kWh", "61+ kWh"))</f>
        <v>61+ kWh</v>
      </c>
      <c r="G245" s="16" t="s">
        <v>24</v>
      </c>
      <c r="H245" s="16"/>
      <c r="I245" s="16">
        <v>800</v>
      </c>
      <c r="J245" s="16">
        <v>199</v>
      </c>
      <c r="K245" s="16" t="str">
        <f t="shared" si="3"/>
        <v>161+ Wh/km</v>
      </c>
      <c r="L245" s="16">
        <v>530</v>
      </c>
      <c r="M245" s="16" t="str">
        <f>IF(electric_vehicles_spec_2025_csv[[#This Row],[range_km]]&lt;=200, "0–200 km",IF(electric_vehicles_spec_2025_csv[[#This Row],[range_km]]&lt;=400, "201–400 km", "401+ km"))</f>
        <v>401+ km</v>
      </c>
      <c r="N245" s="16">
        <v>6.1</v>
      </c>
      <c r="O245" s="16" t="str">
        <f>IF(electric_vehicles_spec_2025_csv[[#This Row],[acceleration_0_100_s]]&lt;4,"0–3.9 s",IF(electric_vehicles_spec_2025_csv[[#This Row],[acceleration_0_100_s]]&lt;6,"4.0–5.9 s",IF(electric_vehicles_spec_2025_csv[[#This Row],[acceleration_0_100_s]]&lt;8,"6.0–7.9 s","8.0+ s")))</f>
        <v>6.0–7.9 s</v>
      </c>
      <c r="P245" s="16">
        <v>160</v>
      </c>
      <c r="Q245" s="16" t="str">
        <f>IF(electric_vehicles_spec_2025_csv[[#This Row],[fast_charging_power_kw_dc]]&lt;50,"0–49 kW",IF(electric_vehicles_spec_2025_csv[[#This Row],[fast_charging_power_kw_dc]]&lt;100,"50–99 kW",IF(electric_vehicles_spec_2025_csv[[#This Row],[fast_charging_power_kw_dc]]&lt;150,"100–149 kW","150+ kW")))</f>
        <v>150+ kW</v>
      </c>
      <c r="R245" s="16" t="s">
        <v>25</v>
      </c>
      <c r="S245" s="16">
        <v>1800</v>
      </c>
      <c r="T245" s="16" t="s">
        <v>655</v>
      </c>
      <c r="U245" s="16">
        <v>7</v>
      </c>
      <c r="V245" s="16" t="s">
        <v>70</v>
      </c>
      <c r="W245" s="16" t="s">
        <v>239</v>
      </c>
      <c r="X245" s="16">
        <v>5125</v>
      </c>
      <c r="Y245" s="16">
        <v>1959</v>
      </c>
      <c r="Z245" s="16">
        <v>1718</v>
      </c>
      <c r="AA245" s="16" t="s">
        <v>36</v>
      </c>
      <c r="AB245" s="16" t="s">
        <v>656</v>
      </c>
    </row>
    <row r="246" spans="1:28" x14ac:dyDescent="0.3">
      <c r="A246" s="16" t="s">
        <v>596</v>
      </c>
      <c r="B246" s="16" t="s">
        <v>657</v>
      </c>
      <c r="C246" s="16">
        <v>210</v>
      </c>
      <c r="D24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6" s="16">
        <v>118</v>
      </c>
      <c r="F246" s="16" t="str">
        <f>IF(electric_vehicles_spec_2025_csv[[#This Row],[battery_capacity_kWh]]&lt;=30, "0–30 kWh", IF(electric_vehicles_spec_2025_csv[[#This Row],[battery_capacity_kWh]]&lt;=60, "31–60 kWh", "61+ kWh"))</f>
        <v>61+ kWh</v>
      </c>
      <c r="G246" s="16" t="s">
        <v>24</v>
      </c>
      <c r="H246" s="16"/>
      <c r="I246" s="16">
        <v>568</v>
      </c>
      <c r="J246" s="16">
        <v>195</v>
      </c>
      <c r="K246" s="16" t="str">
        <f t="shared" si="3"/>
        <v>161+ Wh/km</v>
      </c>
      <c r="L246" s="16">
        <v>540</v>
      </c>
      <c r="M246" s="16" t="str">
        <f>IF(electric_vehicles_spec_2025_csv[[#This Row],[range_km]]&lt;=200, "0–200 km",IF(electric_vehicles_spec_2025_csv[[#This Row],[range_km]]&lt;=400, "201–400 km", "401+ km"))</f>
        <v>401+ km</v>
      </c>
      <c r="N246" s="16">
        <v>6.8</v>
      </c>
      <c r="O246" s="16" t="str">
        <f>IF(electric_vehicles_spec_2025_csv[[#This Row],[acceleration_0_100_s]]&lt;4,"0–3.9 s",IF(electric_vehicles_spec_2025_csv[[#This Row],[acceleration_0_100_s]]&lt;6,"4.0–5.9 s",IF(electric_vehicles_spec_2025_csv[[#This Row],[acceleration_0_100_s]]&lt;8,"6.0–7.9 s","8.0+ s")))</f>
        <v>6.0–7.9 s</v>
      </c>
      <c r="P246" s="16">
        <v>160</v>
      </c>
      <c r="Q246" s="16" t="str">
        <f>IF(electric_vehicles_spec_2025_csv[[#This Row],[fast_charging_power_kw_dc]]&lt;50,"0–49 kW",IF(electric_vehicles_spec_2025_csv[[#This Row],[fast_charging_power_kw_dc]]&lt;100,"50–99 kW",IF(electric_vehicles_spec_2025_csv[[#This Row],[fast_charging_power_kw_dc]]&lt;150,"100–149 kW","150+ kW")))</f>
        <v>150+ kW</v>
      </c>
      <c r="R246" s="16" t="s">
        <v>25</v>
      </c>
      <c r="S246" s="16">
        <v>750</v>
      </c>
      <c r="T246" s="16" t="s">
        <v>655</v>
      </c>
      <c r="U246" s="16">
        <v>7</v>
      </c>
      <c r="V246" s="16" t="s">
        <v>63</v>
      </c>
      <c r="W246" s="16" t="s">
        <v>239</v>
      </c>
      <c r="X246" s="16">
        <v>5125</v>
      </c>
      <c r="Y246" s="16">
        <v>1959</v>
      </c>
      <c r="Z246" s="16">
        <v>1718</v>
      </c>
      <c r="AA246" s="16" t="s">
        <v>36</v>
      </c>
      <c r="AB246" s="16" t="s">
        <v>658</v>
      </c>
    </row>
    <row r="247" spans="1:28" x14ac:dyDescent="0.3">
      <c r="A247" s="16" t="s">
        <v>596</v>
      </c>
      <c r="B247" s="16" t="s">
        <v>659</v>
      </c>
      <c r="C247" s="16">
        <v>210</v>
      </c>
      <c r="D24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7" s="16">
        <v>118</v>
      </c>
      <c r="F247" s="16" t="str">
        <f>IF(electric_vehicles_spec_2025_csv[[#This Row],[battery_capacity_kWh]]&lt;=30, "0–30 kWh", IF(electric_vehicles_spec_2025_csv[[#This Row],[battery_capacity_kWh]]&lt;=60, "31–60 kWh", "61+ kWh"))</f>
        <v>61+ kWh</v>
      </c>
      <c r="G247" s="16" t="s">
        <v>24</v>
      </c>
      <c r="H247" s="16"/>
      <c r="I247" s="16">
        <v>828</v>
      </c>
      <c r="J247" s="16">
        <v>199</v>
      </c>
      <c r="K247" s="16" t="str">
        <f t="shared" si="3"/>
        <v>161+ Wh/km</v>
      </c>
      <c r="L247" s="16">
        <v>530</v>
      </c>
      <c r="M247" s="16" t="str">
        <f>IF(electric_vehicles_spec_2025_csv[[#This Row],[range_km]]&lt;=200, "0–200 km",IF(electric_vehicles_spec_2025_csv[[#This Row],[range_km]]&lt;=400, "201–400 km", "401+ km"))</f>
        <v>401+ km</v>
      </c>
      <c r="N247" s="16">
        <v>5.3</v>
      </c>
      <c r="O247" s="16" t="str">
        <f>IF(electric_vehicles_spec_2025_csv[[#This Row],[acceleration_0_100_s]]&lt;4,"0–3.9 s",IF(electric_vehicles_spec_2025_csv[[#This Row],[acceleration_0_100_s]]&lt;6,"4.0–5.9 s",IF(electric_vehicles_spec_2025_csv[[#This Row],[acceleration_0_100_s]]&lt;8,"6.0–7.9 s","8.0+ s")))</f>
        <v>4.0–5.9 s</v>
      </c>
      <c r="P247" s="16">
        <v>160</v>
      </c>
      <c r="Q247" s="16" t="str">
        <f>IF(electric_vehicles_spec_2025_csv[[#This Row],[fast_charging_power_kw_dc]]&lt;50,"0–49 kW",IF(electric_vehicles_spec_2025_csv[[#This Row],[fast_charging_power_kw_dc]]&lt;100,"50–99 kW",IF(electric_vehicles_spec_2025_csv[[#This Row],[fast_charging_power_kw_dc]]&lt;150,"100–149 kW","150+ kW")))</f>
        <v>150+ kW</v>
      </c>
      <c r="R247" s="16" t="s">
        <v>25</v>
      </c>
      <c r="S247" s="16">
        <v>1800</v>
      </c>
      <c r="T247" s="16" t="s">
        <v>655</v>
      </c>
      <c r="U247" s="16">
        <v>7</v>
      </c>
      <c r="V247" s="16" t="s">
        <v>70</v>
      </c>
      <c r="W247" s="16" t="s">
        <v>239</v>
      </c>
      <c r="X247" s="16">
        <v>5125</v>
      </c>
      <c r="Y247" s="16">
        <v>1959</v>
      </c>
      <c r="Z247" s="16">
        <v>1718</v>
      </c>
      <c r="AA247" s="16" t="s">
        <v>36</v>
      </c>
      <c r="AB247" s="16" t="s">
        <v>660</v>
      </c>
    </row>
    <row r="248" spans="1:28" x14ac:dyDescent="0.3">
      <c r="A248" s="16" t="s">
        <v>596</v>
      </c>
      <c r="B248" s="16" t="s">
        <v>661</v>
      </c>
      <c r="C248" s="16">
        <v>210</v>
      </c>
      <c r="D24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8" s="16">
        <v>118</v>
      </c>
      <c r="F248" s="16" t="str">
        <f>IF(electric_vehicles_spec_2025_csv[[#This Row],[battery_capacity_kWh]]&lt;=30, "0–30 kWh", IF(electric_vehicles_spec_2025_csv[[#This Row],[battery_capacity_kWh]]&lt;=60, "31–60 kWh", "61+ kWh"))</f>
        <v>61+ kWh</v>
      </c>
      <c r="G248" s="16" t="s">
        <v>24</v>
      </c>
      <c r="H248" s="16"/>
      <c r="I248" s="16">
        <v>858</v>
      </c>
      <c r="J248" s="16">
        <v>199</v>
      </c>
      <c r="K248" s="16" t="str">
        <f t="shared" si="3"/>
        <v>161+ Wh/km</v>
      </c>
      <c r="L248" s="16">
        <v>530</v>
      </c>
      <c r="M248" s="16" t="str">
        <f>IF(electric_vehicles_spec_2025_csv[[#This Row],[range_km]]&lt;=200, "0–200 km",IF(electric_vehicles_spec_2025_csv[[#This Row],[range_km]]&lt;=400, "201–400 km", "401+ km"))</f>
        <v>401+ km</v>
      </c>
      <c r="N248" s="16">
        <v>4.7</v>
      </c>
      <c r="O248" s="16" t="str">
        <f>IF(electric_vehicles_spec_2025_csv[[#This Row],[acceleration_0_100_s]]&lt;4,"0–3.9 s",IF(electric_vehicles_spec_2025_csv[[#This Row],[acceleration_0_100_s]]&lt;6,"4.0–5.9 s",IF(electric_vehicles_spec_2025_csv[[#This Row],[acceleration_0_100_s]]&lt;8,"6.0–7.9 s","8.0+ s")))</f>
        <v>4.0–5.9 s</v>
      </c>
      <c r="P248" s="16">
        <v>160</v>
      </c>
      <c r="Q248" s="16" t="str">
        <f>IF(electric_vehicles_spec_2025_csv[[#This Row],[fast_charging_power_kw_dc]]&lt;50,"0–49 kW",IF(electric_vehicles_spec_2025_csv[[#This Row],[fast_charging_power_kw_dc]]&lt;100,"50–99 kW",IF(electric_vehicles_spec_2025_csv[[#This Row],[fast_charging_power_kw_dc]]&lt;150,"100–149 kW","150+ kW")))</f>
        <v>150+ kW</v>
      </c>
      <c r="R248" s="16" t="s">
        <v>25</v>
      </c>
      <c r="S248" s="16">
        <v>1800</v>
      </c>
      <c r="T248" s="16" t="s">
        <v>662</v>
      </c>
      <c r="U248" s="16">
        <v>7</v>
      </c>
      <c r="V248" s="16" t="s">
        <v>70</v>
      </c>
      <c r="W248" s="16" t="s">
        <v>239</v>
      </c>
      <c r="X248" s="16">
        <v>5125</v>
      </c>
      <c r="Y248" s="16">
        <v>1959</v>
      </c>
      <c r="Z248" s="16">
        <v>1718</v>
      </c>
      <c r="AA248" s="16" t="s">
        <v>36</v>
      </c>
      <c r="AB248" s="16" t="s">
        <v>663</v>
      </c>
    </row>
    <row r="249" spans="1:28" x14ac:dyDescent="0.3">
      <c r="A249" s="16" t="s">
        <v>596</v>
      </c>
      <c r="B249" s="16" t="s">
        <v>664</v>
      </c>
      <c r="C249" s="16">
        <v>210</v>
      </c>
      <c r="D24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49" s="16">
        <v>118</v>
      </c>
      <c r="F249" s="16" t="str">
        <f>IF(electric_vehicles_spec_2025_csv[[#This Row],[battery_capacity_kWh]]&lt;=30, "0–30 kWh", IF(electric_vehicles_spec_2025_csv[[#This Row],[battery_capacity_kWh]]&lt;=60, "31–60 kWh", "61+ kWh"))</f>
        <v>61+ kWh</v>
      </c>
      <c r="G249" s="16" t="s">
        <v>24</v>
      </c>
      <c r="H249" s="16"/>
      <c r="I249" s="16">
        <v>950</v>
      </c>
      <c r="J249" s="16">
        <v>211</v>
      </c>
      <c r="K249" s="16" t="str">
        <f t="shared" si="3"/>
        <v>161+ Wh/km</v>
      </c>
      <c r="L249" s="16">
        <v>490</v>
      </c>
      <c r="M249" s="16" t="str">
        <f>IF(electric_vehicles_spec_2025_csv[[#This Row],[range_km]]&lt;=200, "0–200 km",IF(electric_vehicles_spec_2025_csv[[#This Row],[range_km]]&lt;=400, "201–400 km", "401+ km"))</f>
        <v>401+ km</v>
      </c>
      <c r="N249" s="16">
        <v>4.4000000000000004</v>
      </c>
      <c r="O249" s="16" t="str">
        <f>IF(electric_vehicles_spec_2025_csv[[#This Row],[acceleration_0_100_s]]&lt;4,"0–3.9 s",IF(electric_vehicles_spec_2025_csv[[#This Row],[acceleration_0_100_s]]&lt;6,"4.0–5.9 s",IF(electric_vehicles_spec_2025_csv[[#This Row],[acceleration_0_100_s]]&lt;8,"6.0–7.9 s","8.0+ s")))</f>
        <v>4.0–5.9 s</v>
      </c>
      <c r="P249" s="16">
        <v>160</v>
      </c>
      <c r="Q249" s="16" t="str">
        <f>IF(electric_vehicles_spec_2025_csv[[#This Row],[fast_charging_power_kw_dc]]&lt;50,"0–49 kW",IF(electric_vehicles_spec_2025_csv[[#This Row],[fast_charging_power_kw_dc]]&lt;100,"50–99 kW",IF(electric_vehicles_spec_2025_csv[[#This Row],[fast_charging_power_kw_dc]]&lt;150,"100–149 kW","150+ kW")))</f>
        <v>150+ kW</v>
      </c>
      <c r="R249" s="16" t="s">
        <v>25</v>
      </c>
      <c r="S249" s="16">
        <v>1800</v>
      </c>
      <c r="T249" s="16" t="s">
        <v>186</v>
      </c>
      <c r="U249" s="16">
        <v>4</v>
      </c>
      <c r="V249" s="16" t="s">
        <v>70</v>
      </c>
      <c r="W249" s="16" t="s">
        <v>239</v>
      </c>
      <c r="X249" s="16">
        <v>5125</v>
      </c>
      <c r="Y249" s="16">
        <v>1959</v>
      </c>
      <c r="Z249" s="16">
        <v>1725</v>
      </c>
      <c r="AA249" s="16" t="s">
        <v>36</v>
      </c>
      <c r="AB249" s="16" t="s">
        <v>665</v>
      </c>
    </row>
    <row r="250" spans="1:28" x14ac:dyDescent="0.3">
      <c r="A250" s="16" t="s">
        <v>596</v>
      </c>
      <c r="B250" s="16" t="s">
        <v>666</v>
      </c>
      <c r="C250" s="16">
        <v>132</v>
      </c>
      <c r="D25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50" s="16">
        <v>45</v>
      </c>
      <c r="F250" s="16" t="str">
        <f>IF(electric_vehicles_spec_2025_csv[[#This Row],[battery_capacity_kWh]]&lt;=30, "0–30 kWh", IF(electric_vehicles_spec_2025_csv[[#This Row],[battery_capacity_kWh]]&lt;=60, "31–60 kWh", "61+ kWh"))</f>
        <v>31–60 kWh</v>
      </c>
      <c r="G250" s="16" t="s">
        <v>24</v>
      </c>
      <c r="H250" s="16"/>
      <c r="I250" s="16">
        <v>245</v>
      </c>
      <c r="J250" s="16">
        <v>177</v>
      </c>
      <c r="K250" s="16" t="str">
        <f t="shared" si="3"/>
        <v>161+ Wh/km</v>
      </c>
      <c r="L250" s="16">
        <v>220</v>
      </c>
      <c r="M250" s="16" t="str">
        <f>IF(electric_vehicles_spec_2025_csv[[#This Row],[range_km]]&lt;=200, "0–200 km",IF(electric_vehicles_spec_2025_csv[[#This Row],[range_km]]&lt;=400, "201–400 km", "401+ km"))</f>
        <v>201–400 km</v>
      </c>
      <c r="N250" s="16">
        <v>13.3</v>
      </c>
      <c r="O250" s="16" t="str">
        <f>IF(electric_vehicles_spec_2025_csv[[#This Row],[acceleration_0_100_s]]&lt;4,"0–3.9 s",IF(electric_vehicles_spec_2025_csv[[#This Row],[acceleration_0_100_s]]&lt;6,"4.0–5.9 s",IF(electric_vehicles_spec_2025_csv[[#This Row],[acceleration_0_100_s]]&lt;8,"6.0–7.9 s","8.0+ s")))</f>
        <v>8.0+ s</v>
      </c>
      <c r="P250" s="16">
        <v>50</v>
      </c>
      <c r="Q250" s="16" t="str">
        <f>IF(electric_vehicles_spec_2025_csv[[#This Row],[fast_charging_power_kw_dc]]&lt;50,"0–49 kW",IF(electric_vehicles_spec_2025_csv[[#This Row],[fast_charging_power_kw_dc]]&lt;100,"50–99 kW",IF(electric_vehicles_spec_2025_csv[[#This Row],[fast_charging_power_kw_dc]]&lt;150,"100–149 kW","150+ kW")))</f>
        <v>50–99 kW</v>
      </c>
      <c r="R250" s="16" t="s">
        <v>25</v>
      </c>
      <c r="S250" s="16">
        <v>1500</v>
      </c>
      <c r="T250" s="16" t="s">
        <v>667</v>
      </c>
      <c r="U250" s="16">
        <v>7</v>
      </c>
      <c r="V250" s="16" t="s">
        <v>27</v>
      </c>
      <c r="W250" s="16" t="s">
        <v>244</v>
      </c>
      <c r="X250" s="16">
        <v>4922</v>
      </c>
      <c r="Y250" s="16">
        <v>1859</v>
      </c>
      <c r="Z250" s="16">
        <v>1811</v>
      </c>
      <c r="AA250" s="16" t="s">
        <v>245</v>
      </c>
      <c r="AB250" s="16" t="s">
        <v>668</v>
      </c>
    </row>
    <row r="251" spans="1:28" x14ac:dyDescent="0.3">
      <c r="A251" s="16" t="s">
        <v>596</v>
      </c>
      <c r="B251" s="16" t="s">
        <v>669</v>
      </c>
      <c r="C251" s="16">
        <v>132</v>
      </c>
      <c r="D25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51" s="16">
        <v>45</v>
      </c>
      <c r="F251" s="16" t="str">
        <f>IF(electric_vehicles_spec_2025_csv[[#This Row],[battery_capacity_kWh]]&lt;=30, "0–30 kWh", IF(electric_vehicles_spec_2025_csv[[#This Row],[battery_capacity_kWh]]&lt;=60, "31–60 kWh", "61+ kWh"))</f>
        <v>31–60 kWh</v>
      </c>
      <c r="G251" s="16" t="s">
        <v>24</v>
      </c>
      <c r="H251" s="16"/>
      <c r="I251" s="16">
        <v>245</v>
      </c>
      <c r="J251" s="16">
        <v>167</v>
      </c>
      <c r="K251" s="16" t="str">
        <f t="shared" si="3"/>
        <v>161+ Wh/km</v>
      </c>
      <c r="L251" s="16">
        <v>225</v>
      </c>
      <c r="M251" s="16" t="str">
        <f>IF(electric_vehicles_spec_2025_csv[[#This Row],[range_km]]&lt;=200, "0–200 km",IF(electric_vehicles_spec_2025_csv[[#This Row],[range_km]]&lt;=400, "201–400 km", "401+ km"))</f>
        <v>201–400 km</v>
      </c>
      <c r="N251" s="16">
        <v>12.6</v>
      </c>
      <c r="O251" s="16" t="str">
        <f>IF(electric_vehicles_spec_2025_csv[[#This Row],[acceleration_0_100_s]]&lt;4,"0–3.9 s",IF(electric_vehicles_spec_2025_csv[[#This Row],[acceleration_0_100_s]]&lt;6,"4.0–5.9 s",IF(electric_vehicles_spec_2025_csv[[#This Row],[acceleration_0_100_s]]&lt;8,"6.0–7.9 s","8.0+ s")))</f>
        <v>8.0+ s</v>
      </c>
      <c r="P251" s="16">
        <v>50</v>
      </c>
      <c r="Q251" s="16" t="str">
        <f>IF(electric_vehicles_spec_2025_csv[[#This Row],[fast_charging_power_kw_dc]]&lt;50,"0–49 kW",IF(electric_vehicles_spec_2025_csv[[#This Row],[fast_charging_power_kw_dc]]&lt;100,"50–99 kW",IF(electric_vehicles_spec_2025_csv[[#This Row],[fast_charging_power_kw_dc]]&lt;150,"100–149 kW","150+ kW")))</f>
        <v>50–99 kW</v>
      </c>
      <c r="R251" s="16" t="s">
        <v>25</v>
      </c>
      <c r="S251" s="16">
        <v>1500</v>
      </c>
      <c r="T251" s="16" t="s">
        <v>670</v>
      </c>
      <c r="U251" s="16">
        <v>5</v>
      </c>
      <c r="V251" s="16" t="s">
        <v>27</v>
      </c>
      <c r="W251" s="16" t="s">
        <v>244</v>
      </c>
      <c r="X251" s="16">
        <v>4498</v>
      </c>
      <c r="Y251" s="16">
        <v>1859</v>
      </c>
      <c r="Z251" s="16">
        <v>1819</v>
      </c>
      <c r="AA251" s="16" t="s">
        <v>245</v>
      </c>
      <c r="AB251" s="16" t="s">
        <v>671</v>
      </c>
    </row>
    <row r="252" spans="1:28" x14ac:dyDescent="0.3">
      <c r="A252" s="16" t="s">
        <v>596</v>
      </c>
      <c r="B252" s="16" t="s">
        <v>672</v>
      </c>
      <c r="C252" s="16">
        <v>160</v>
      </c>
      <c r="D25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52" s="16">
        <v>60</v>
      </c>
      <c r="F252" s="16" t="str">
        <f>IF(electric_vehicles_spec_2025_csv[[#This Row],[battery_capacity_kWh]]&lt;=30, "0–30 kWh", IF(electric_vehicles_spec_2025_csv[[#This Row],[battery_capacity_kWh]]&lt;=60, "31–60 kWh", "61+ kWh"))</f>
        <v>31–60 kWh</v>
      </c>
      <c r="G252" s="16" t="s">
        <v>24</v>
      </c>
      <c r="H252" s="16">
        <v>192</v>
      </c>
      <c r="I252" s="16">
        <v>365</v>
      </c>
      <c r="J252" s="16">
        <v>282</v>
      </c>
      <c r="K252" s="16" t="str">
        <f t="shared" si="3"/>
        <v>161+ Wh/km</v>
      </c>
      <c r="L252" s="16">
        <v>210</v>
      </c>
      <c r="M252" s="16" t="str">
        <f>IF(electric_vehicles_spec_2025_csv[[#This Row],[range_km]]&lt;=200, "0–200 km",IF(electric_vehicles_spec_2025_csv[[#This Row],[range_km]]&lt;=400, "201–400 km", "401+ km"))</f>
        <v>201–400 km</v>
      </c>
      <c r="N252" s="16">
        <v>12</v>
      </c>
      <c r="O252" s="16" t="str">
        <f>IF(electric_vehicles_spec_2025_csv[[#This Row],[acceleration_0_100_s]]&lt;4,"0–3.9 s",IF(electric_vehicles_spec_2025_csv[[#This Row],[acceleration_0_100_s]]&lt;6,"4.0–5.9 s",IF(electric_vehicles_spec_2025_csv[[#This Row],[acceleration_0_100_s]]&lt;8,"6.0–7.9 s","8.0+ s")))</f>
        <v>8.0+ s</v>
      </c>
      <c r="P252" s="16">
        <v>60</v>
      </c>
      <c r="Q252" s="16" t="str">
        <f>IF(electric_vehicles_spec_2025_csv[[#This Row],[fast_charging_power_kw_dc]]&lt;50,"0–49 kW",IF(electric_vehicles_spec_2025_csv[[#This Row],[fast_charging_power_kw_dc]]&lt;100,"50–99 kW",IF(electric_vehicles_spec_2025_csv[[#This Row],[fast_charging_power_kw_dc]]&lt;150,"100–149 kW","150+ kW")))</f>
        <v>50–99 kW</v>
      </c>
      <c r="R252" s="16" t="s">
        <v>25</v>
      </c>
      <c r="S252" s="16">
        <v>0</v>
      </c>
      <c r="T252" s="16" t="s">
        <v>673</v>
      </c>
      <c r="U252" s="16">
        <v>7</v>
      </c>
      <c r="V252" s="16" t="s">
        <v>27</v>
      </c>
      <c r="W252" s="16" t="s">
        <v>244</v>
      </c>
      <c r="X252" s="16">
        <v>5370</v>
      </c>
      <c r="Y252" s="16">
        <v>1928</v>
      </c>
      <c r="Z252" s="16">
        <v>1911</v>
      </c>
      <c r="AA252" s="16" t="s">
        <v>245</v>
      </c>
      <c r="AB252" s="16" t="s">
        <v>674</v>
      </c>
    </row>
    <row r="253" spans="1:28" x14ac:dyDescent="0.3">
      <c r="A253" s="16" t="s">
        <v>596</v>
      </c>
      <c r="B253" s="16" t="s">
        <v>675</v>
      </c>
      <c r="C253" s="16">
        <v>160</v>
      </c>
      <c r="D25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53" s="16">
        <v>60</v>
      </c>
      <c r="F253" s="16" t="str">
        <f>IF(electric_vehicles_spec_2025_csv[[#This Row],[battery_capacity_kWh]]&lt;=30, "0–30 kWh", IF(electric_vehicles_spec_2025_csv[[#This Row],[battery_capacity_kWh]]&lt;=60, "31–60 kWh", "61+ kWh"))</f>
        <v>31–60 kWh</v>
      </c>
      <c r="G253" s="16" t="s">
        <v>24</v>
      </c>
      <c r="H253" s="16">
        <v>192</v>
      </c>
      <c r="I253" s="16">
        <v>365</v>
      </c>
      <c r="J253" s="16">
        <v>282</v>
      </c>
      <c r="K253" s="16" t="str">
        <f t="shared" si="3"/>
        <v>161+ Wh/km</v>
      </c>
      <c r="L253" s="16">
        <v>215</v>
      </c>
      <c r="M253" s="16" t="str">
        <f>IF(electric_vehicles_spec_2025_csv[[#This Row],[range_km]]&lt;=200, "0–200 km",IF(electric_vehicles_spec_2025_csv[[#This Row],[range_km]]&lt;=400, "201–400 km", "401+ km"))</f>
        <v>201–400 km</v>
      </c>
      <c r="N253" s="16">
        <v>12</v>
      </c>
      <c r="O253" s="16" t="str">
        <f>IF(electric_vehicles_spec_2025_csv[[#This Row],[acceleration_0_100_s]]&lt;4,"0–3.9 s",IF(electric_vehicles_spec_2025_csv[[#This Row],[acceleration_0_100_s]]&lt;6,"4.0–5.9 s",IF(electric_vehicles_spec_2025_csv[[#This Row],[acceleration_0_100_s]]&lt;8,"6.0–7.9 s","8.0+ s")))</f>
        <v>8.0+ s</v>
      </c>
      <c r="P253" s="16">
        <v>60</v>
      </c>
      <c r="Q253" s="16" t="str">
        <f>IF(electric_vehicles_spec_2025_csv[[#This Row],[fast_charging_power_kw_dc]]&lt;50,"0–49 kW",IF(electric_vehicles_spec_2025_csv[[#This Row],[fast_charging_power_kw_dc]]&lt;100,"50–99 kW",IF(electric_vehicles_spec_2025_csv[[#This Row],[fast_charging_power_kw_dc]]&lt;150,"100–149 kW","150+ kW")))</f>
        <v>50–99 kW</v>
      </c>
      <c r="R253" s="16" t="s">
        <v>25</v>
      </c>
      <c r="S253" s="16">
        <v>0</v>
      </c>
      <c r="T253" s="16" t="s">
        <v>676</v>
      </c>
      <c r="U253" s="16">
        <v>7</v>
      </c>
      <c r="V253" s="16" t="s">
        <v>27</v>
      </c>
      <c r="W253" s="16" t="s">
        <v>244</v>
      </c>
      <c r="X253" s="16">
        <v>5140</v>
      </c>
      <c r="Y253" s="16">
        <v>1928</v>
      </c>
      <c r="Z253" s="16">
        <v>1910</v>
      </c>
      <c r="AA253" s="16" t="s">
        <v>245</v>
      </c>
      <c r="AB253" s="16" t="s">
        <v>677</v>
      </c>
    </row>
    <row r="254" spans="1:28" x14ac:dyDescent="0.3">
      <c r="A254" s="16" t="s">
        <v>596</v>
      </c>
      <c r="B254" s="16" t="s">
        <v>678</v>
      </c>
      <c r="C254" s="16">
        <v>140</v>
      </c>
      <c r="D25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54" s="16">
        <v>90</v>
      </c>
      <c r="F254" s="16" t="str">
        <f>IF(electric_vehicles_spec_2025_csv[[#This Row],[battery_capacity_kWh]]&lt;=30, "0–30 kWh", IF(electric_vehicles_spec_2025_csv[[#This Row],[battery_capacity_kWh]]&lt;=60, "31–60 kWh", "61+ kWh"))</f>
        <v>61+ kWh</v>
      </c>
      <c r="G254" s="16" t="s">
        <v>24</v>
      </c>
      <c r="H254" s="16">
        <v>288</v>
      </c>
      <c r="I254" s="16">
        <v>365</v>
      </c>
      <c r="J254" s="16">
        <v>249</v>
      </c>
      <c r="K254" s="16" t="str">
        <f t="shared" si="3"/>
        <v>161+ Wh/km</v>
      </c>
      <c r="L254" s="16">
        <v>315</v>
      </c>
      <c r="M254" s="16" t="str">
        <f>IF(electric_vehicles_spec_2025_csv[[#This Row],[range_km]]&lt;=200, "0–200 km",IF(electric_vehicles_spec_2025_csv[[#This Row],[range_km]]&lt;=400, "201–400 km", "401+ km"))</f>
        <v>201–400 km</v>
      </c>
      <c r="N254" s="16">
        <v>12.2</v>
      </c>
      <c r="O254" s="16" t="str">
        <f>IF(electric_vehicles_spec_2025_csv[[#This Row],[acceleration_0_100_s]]&lt;4,"0–3.9 s",IF(electric_vehicles_spec_2025_csv[[#This Row],[acceleration_0_100_s]]&lt;6,"4.0–5.9 s",IF(electric_vehicles_spec_2025_csv[[#This Row],[acceleration_0_100_s]]&lt;8,"6.0–7.9 s","8.0+ s")))</f>
        <v>8.0+ s</v>
      </c>
      <c r="P254" s="16">
        <v>96</v>
      </c>
      <c r="Q254" s="16" t="str">
        <f>IF(electric_vehicles_spec_2025_csv[[#This Row],[fast_charging_power_kw_dc]]&lt;50,"0–49 kW",IF(electric_vehicles_spec_2025_csv[[#This Row],[fast_charging_power_kw_dc]]&lt;100,"50–99 kW",IF(electric_vehicles_spec_2025_csv[[#This Row],[fast_charging_power_kw_dc]]&lt;150,"100–149 kW","150+ kW")))</f>
        <v>50–99 kW</v>
      </c>
      <c r="R254" s="16" t="s">
        <v>25</v>
      </c>
      <c r="S254" s="16">
        <v>0</v>
      </c>
      <c r="T254" s="16" t="s">
        <v>673</v>
      </c>
      <c r="U254" s="16">
        <v>7</v>
      </c>
      <c r="V254" s="16" t="s">
        <v>27</v>
      </c>
      <c r="W254" s="16" t="s">
        <v>244</v>
      </c>
      <c r="X254" s="16">
        <v>5370</v>
      </c>
      <c r="Y254" s="16">
        <v>1928</v>
      </c>
      <c r="Z254" s="16">
        <v>1901</v>
      </c>
      <c r="AA254" s="16" t="s">
        <v>245</v>
      </c>
      <c r="AB254" s="16" t="s">
        <v>679</v>
      </c>
    </row>
    <row r="255" spans="1:28" x14ac:dyDescent="0.3">
      <c r="A255" s="16" t="s">
        <v>596</v>
      </c>
      <c r="B255" s="16" t="s">
        <v>680</v>
      </c>
      <c r="C255" s="16">
        <v>160</v>
      </c>
      <c r="D25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55" s="16">
        <v>90</v>
      </c>
      <c r="F255" s="16" t="str">
        <f>IF(electric_vehicles_spec_2025_csv[[#This Row],[battery_capacity_kWh]]&lt;=30, "0–30 kWh", IF(electric_vehicles_spec_2025_csv[[#This Row],[battery_capacity_kWh]]&lt;=60, "31–60 kWh", "61+ kWh"))</f>
        <v>61+ kWh</v>
      </c>
      <c r="G255" s="16" t="s">
        <v>24</v>
      </c>
      <c r="H255" s="16">
        <v>288</v>
      </c>
      <c r="I255" s="16">
        <v>365</v>
      </c>
      <c r="J255" s="16">
        <v>276</v>
      </c>
      <c r="K255" s="16" t="str">
        <f t="shared" si="3"/>
        <v>161+ Wh/km</v>
      </c>
      <c r="L255" s="16">
        <v>320</v>
      </c>
      <c r="M255" s="16" t="str">
        <f>IF(electric_vehicles_spec_2025_csv[[#This Row],[range_km]]&lt;=200, "0–200 km",IF(electric_vehicles_spec_2025_csv[[#This Row],[range_km]]&lt;=400, "201–400 km", "401+ km"))</f>
        <v>201–400 km</v>
      </c>
      <c r="N255" s="16">
        <v>12.1</v>
      </c>
      <c r="O255" s="16" t="str">
        <f>IF(electric_vehicles_spec_2025_csv[[#This Row],[acceleration_0_100_s]]&lt;4,"0–3.9 s",IF(electric_vehicles_spec_2025_csv[[#This Row],[acceleration_0_100_s]]&lt;6,"4.0–5.9 s",IF(electric_vehicles_spec_2025_csv[[#This Row],[acceleration_0_100_s]]&lt;8,"6.0–7.9 s","8.0+ s")))</f>
        <v>8.0+ s</v>
      </c>
      <c r="P255" s="16">
        <v>96</v>
      </c>
      <c r="Q255" s="16" t="str">
        <f>IF(electric_vehicles_spec_2025_csv[[#This Row],[fast_charging_power_kw_dc]]&lt;50,"0–49 kW",IF(electric_vehicles_spec_2025_csv[[#This Row],[fast_charging_power_kw_dc]]&lt;100,"50–99 kW",IF(electric_vehicles_spec_2025_csv[[#This Row],[fast_charging_power_kw_dc]]&lt;150,"100–149 kW","150+ kW")))</f>
        <v>50–99 kW</v>
      </c>
      <c r="R255" s="16" t="s">
        <v>25</v>
      </c>
      <c r="S255" s="16">
        <v>0</v>
      </c>
      <c r="T255" s="16" t="s">
        <v>676</v>
      </c>
      <c r="U255" s="16">
        <v>7</v>
      </c>
      <c r="V255" s="16" t="s">
        <v>27</v>
      </c>
      <c r="W255" s="16" t="s">
        <v>244</v>
      </c>
      <c r="X255" s="16">
        <v>5140</v>
      </c>
      <c r="Y255" s="16">
        <v>1928</v>
      </c>
      <c r="Z255" s="16">
        <v>1901</v>
      </c>
      <c r="AA255" s="16" t="s">
        <v>245</v>
      </c>
      <c r="AB255" s="16" t="s">
        <v>681</v>
      </c>
    </row>
    <row r="256" spans="1:28" x14ac:dyDescent="0.3">
      <c r="A256" s="16" t="s">
        <v>596</v>
      </c>
      <c r="B256" s="16" t="s">
        <v>682</v>
      </c>
      <c r="C256" s="16">
        <v>180</v>
      </c>
      <c r="D25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56" s="16">
        <v>116</v>
      </c>
      <c r="F256" s="16" t="str">
        <f>IF(electric_vehicles_spec_2025_csv[[#This Row],[battery_capacity_kWh]]&lt;=30, "0–30 kWh", IF(electric_vehicles_spec_2025_csv[[#This Row],[battery_capacity_kWh]]&lt;=60, "31–60 kWh", "61+ kWh"))</f>
        <v>61+ kWh</v>
      </c>
      <c r="G256" s="16" t="s">
        <v>24</v>
      </c>
      <c r="H256" s="16">
        <v>216</v>
      </c>
      <c r="I256" s="16">
        <v>1164</v>
      </c>
      <c r="J256" s="16">
        <v>267</v>
      </c>
      <c r="K256" s="16" t="str">
        <f t="shared" si="3"/>
        <v>161+ Wh/km</v>
      </c>
      <c r="L256" s="16">
        <v>360</v>
      </c>
      <c r="M256" s="16" t="str">
        <f>IF(electric_vehicles_spec_2025_csv[[#This Row],[range_km]]&lt;=200, "0–200 km",IF(electric_vehicles_spec_2025_csv[[#This Row],[range_km]]&lt;=400, "201–400 km", "401+ km"))</f>
        <v>201–400 km</v>
      </c>
      <c r="N256" s="16">
        <v>4.7</v>
      </c>
      <c r="O256" s="16" t="str">
        <f>IF(electric_vehicles_spec_2025_csv[[#This Row],[acceleration_0_100_s]]&lt;4,"0–3.9 s",IF(electric_vehicles_spec_2025_csv[[#This Row],[acceleration_0_100_s]]&lt;6,"4.0–5.9 s",IF(electric_vehicles_spec_2025_csv[[#This Row],[acceleration_0_100_s]]&lt;8,"6.0–7.9 s","8.0+ s")))</f>
        <v>4.0–5.9 s</v>
      </c>
      <c r="P256" s="16">
        <v>150</v>
      </c>
      <c r="Q256" s="16" t="str">
        <f>IF(electric_vehicles_spec_2025_csv[[#This Row],[fast_charging_power_kw_dc]]&lt;50,"0–49 kW",IF(electric_vehicles_spec_2025_csv[[#This Row],[fast_charging_power_kw_dc]]&lt;100,"50–99 kW",IF(electric_vehicles_spec_2025_csv[[#This Row],[fast_charging_power_kw_dc]]&lt;150,"100–149 kW","150+ kW")))</f>
        <v>150+ kW</v>
      </c>
      <c r="R256" s="16" t="s">
        <v>25</v>
      </c>
      <c r="S256" s="16">
        <v>0</v>
      </c>
      <c r="T256" s="16" t="s">
        <v>683</v>
      </c>
      <c r="U256" s="16">
        <v>5</v>
      </c>
      <c r="V256" s="16" t="s">
        <v>70</v>
      </c>
      <c r="W256" s="16" t="s">
        <v>239</v>
      </c>
      <c r="X256" s="16">
        <v>4624</v>
      </c>
      <c r="Y256" s="16">
        <v>1931</v>
      </c>
      <c r="Z256" s="16">
        <v>1986</v>
      </c>
      <c r="AA256" s="16" t="s">
        <v>36</v>
      </c>
      <c r="AB256" s="16" t="s">
        <v>684</v>
      </c>
    </row>
    <row r="257" spans="1:28" x14ac:dyDescent="0.3">
      <c r="A257" s="16" t="s">
        <v>596</v>
      </c>
      <c r="B257" s="16" t="s">
        <v>685</v>
      </c>
      <c r="C257" s="16">
        <v>160</v>
      </c>
      <c r="D25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57" s="16">
        <v>60</v>
      </c>
      <c r="F257" s="16" t="str">
        <f>IF(electric_vehicles_spec_2025_csv[[#This Row],[battery_capacity_kWh]]&lt;=30, "0–30 kWh", IF(electric_vehicles_spec_2025_csv[[#This Row],[battery_capacity_kWh]]&lt;=60, "31–60 kWh", "61+ kWh"))</f>
        <v>31–60 kWh</v>
      </c>
      <c r="G257" s="16" t="s">
        <v>24</v>
      </c>
      <c r="H257" s="16">
        <v>192</v>
      </c>
      <c r="I257" s="16">
        <v>360</v>
      </c>
      <c r="J257" s="16">
        <v>254</v>
      </c>
      <c r="K257" s="16" t="str">
        <f t="shared" si="3"/>
        <v>161+ Wh/km</v>
      </c>
      <c r="L257" s="16">
        <v>215</v>
      </c>
      <c r="M257" s="16" t="str">
        <f>IF(electric_vehicles_spec_2025_csv[[#This Row],[range_km]]&lt;=200, "0–200 km",IF(electric_vehicles_spec_2025_csv[[#This Row],[range_km]]&lt;=400, "201–400 km", "401+ km"))</f>
        <v>201–400 km</v>
      </c>
      <c r="N257" s="16">
        <v>12</v>
      </c>
      <c r="O257" s="16" t="str">
        <f>IF(electric_vehicles_spec_2025_csv[[#This Row],[acceleration_0_100_s]]&lt;4,"0–3.9 s",IF(electric_vehicles_spec_2025_csv[[#This Row],[acceleration_0_100_s]]&lt;6,"4.0–5.9 s",IF(electric_vehicles_spec_2025_csv[[#This Row],[acceleration_0_100_s]]&lt;8,"6.0–7.9 s","8.0+ s")))</f>
        <v>8.0+ s</v>
      </c>
      <c r="P257" s="16">
        <v>60</v>
      </c>
      <c r="Q257" s="16" t="str">
        <f>IF(electric_vehicles_spec_2025_csv[[#This Row],[fast_charging_power_kw_dc]]&lt;50,"0–49 kW",IF(electric_vehicles_spec_2025_csv[[#This Row],[fast_charging_power_kw_dc]]&lt;100,"50–99 kW",IF(electric_vehicles_spec_2025_csv[[#This Row],[fast_charging_power_kw_dc]]&lt;150,"100–149 kW","150+ kW")))</f>
        <v>50–99 kW</v>
      </c>
      <c r="R257" s="16" t="s">
        <v>25</v>
      </c>
      <c r="S257" s="16">
        <v>0</v>
      </c>
      <c r="T257" s="16" t="s">
        <v>686</v>
      </c>
      <c r="U257" s="16">
        <v>8</v>
      </c>
      <c r="V257" s="16" t="s">
        <v>27</v>
      </c>
      <c r="W257" s="16" t="s">
        <v>244</v>
      </c>
      <c r="X257" s="16">
        <v>5370</v>
      </c>
      <c r="Y257" s="16">
        <v>1928</v>
      </c>
      <c r="Z257" s="16">
        <v>1890</v>
      </c>
      <c r="AA257" s="16" t="s">
        <v>245</v>
      </c>
      <c r="AB257" s="16" t="s">
        <v>687</v>
      </c>
    </row>
    <row r="258" spans="1:28" x14ac:dyDescent="0.3">
      <c r="A258" s="16" t="s">
        <v>596</v>
      </c>
      <c r="B258" s="16" t="s">
        <v>688</v>
      </c>
      <c r="C258" s="16">
        <v>160</v>
      </c>
      <c r="D25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58" s="16">
        <v>60</v>
      </c>
      <c r="F258" s="16" t="str">
        <f>IF(electric_vehicles_spec_2025_csv[[#This Row],[battery_capacity_kWh]]&lt;=30, "0–30 kWh", IF(electric_vehicles_spec_2025_csv[[#This Row],[battery_capacity_kWh]]&lt;=60, "31–60 kWh", "61+ kWh"))</f>
        <v>31–60 kWh</v>
      </c>
      <c r="G258" s="16" t="s">
        <v>24</v>
      </c>
      <c r="H258" s="16">
        <v>192</v>
      </c>
      <c r="I258" s="16">
        <v>360</v>
      </c>
      <c r="J258" s="16">
        <v>259</v>
      </c>
      <c r="K258" s="16" t="str">
        <f t="shared" ref="K258:K321" si="4">IF(J258&lt;=130,"0–130 Wh/km",IF(J258&lt;=160,"131–160 Wh/km","161+ Wh/km"))</f>
        <v>161+ Wh/km</v>
      </c>
      <c r="L258" s="16">
        <v>220</v>
      </c>
      <c r="M258" s="16" t="str">
        <f>IF(electric_vehicles_spec_2025_csv[[#This Row],[range_km]]&lt;=200, "0–200 km",IF(electric_vehicles_spec_2025_csv[[#This Row],[range_km]]&lt;=400, "201–400 km", "401+ km"))</f>
        <v>201–400 km</v>
      </c>
      <c r="N258" s="16">
        <v>12</v>
      </c>
      <c r="O258" s="16" t="str">
        <f>IF(electric_vehicles_spec_2025_csv[[#This Row],[acceleration_0_100_s]]&lt;4,"0–3.9 s",IF(electric_vehicles_spec_2025_csv[[#This Row],[acceleration_0_100_s]]&lt;6,"4.0–5.9 s",IF(electric_vehicles_spec_2025_csv[[#This Row],[acceleration_0_100_s]]&lt;8,"6.0–7.9 s","8.0+ s")))</f>
        <v>8.0+ s</v>
      </c>
      <c r="P258" s="16">
        <v>60</v>
      </c>
      <c r="Q258" s="16" t="str">
        <f>IF(electric_vehicles_spec_2025_csv[[#This Row],[fast_charging_power_kw_dc]]&lt;50,"0–49 kW",IF(electric_vehicles_spec_2025_csv[[#This Row],[fast_charging_power_kw_dc]]&lt;100,"50–99 kW",IF(electric_vehicles_spec_2025_csv[[#This Row],[fast_charging_power_kw_dc]]&lt;150,"100–149 kW","150+ kW")))</f>
        <v>50–99 kW</v>
      </c>
      <c r="R258" s="16" t="s">
        <v>25</v>
      </c>
      <c r="S258" s="16">
        <v>0</v>
      </c>
      <c r="T258" s="16" t="s">
        <v>689</v>
      </c>
      <c r="U258" s="16">
        <v>8</v>
      </c>
      <c r="V258" s="16" t="s">
        <v>27</v>
      </c>
      <c r="W258" s="16" t="s">
        <v>244</v>
      </c>
      <c r="X258" s="16">
        <v>5140</v>
      </c>
      <c r="Y258" s="16">
        <v>1928</v>
      </c>
      <c r="Z258" s="16">
        <v>1890</v>
      </c>
      <c r="AA258" s="16" t="s">
        <v>245</v>
      </c>
      <c r="AB258" s="16" t="s">
        <v>690</v>
      </c>
    </row>
    <row r="259" spans="1:28" x14ac:dyDescent="0.3">
      <c r="A259" s="16" t="s">
        <v>596</v>
      </c>
      <c r="B259" s="16" t="s">
        <v>691</v>
      </c>
      <c r="C259" s="16">
        <v>160</v>
      </c>
      <c r="D25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59" s="16">
        <v>90</v>
      </c>
      <c r="F259" s="16" t="str">
        <f>IF(electric_vehicles_spec_2025_csv[[#This Row],[battery_capacity_kWh]]&lt;=30, "0–30 kWh", IF(electric_vehicles_spec_2025_csv[[#This Row],[battery_capacity_kWh]]&lt;=60, "31–60 kWh", "61+ kWh"))</f>
        <v>61+ kWh</v>
      </c>
      <c r="G259" s="16" t="s">
        <v>24</v>
      </c>
      <c r="H259" s="16">
        <v>288</v>
      </c>
      <c r="I259" s="16">
        <v>360</v>
      </c>
      <c r="J259" s="16">
        <v>260</v>
      </c>
      <c r="K259" s="16" t="str">
        <f t="shared" si="4"/>
        <v>161+ Wh/km</v>
      </c>
      <c r="L259" s="16">
        <v>325</v>
      </c>
      <c r="M259" s="16" t="str">
        <f>IF(electric_vehicles_spec_2025_csv[[#This Row],[range_km]]&lt;=200, "0–200 km",IF(electric_vehicles_spec_2025_csv[[#This Row],[range_km]]&lt;=400, "201–400 km", "401+ km"))</f>
        <v>201–400 km</v>
      </c>
      <c r="N259" s="16">
        <v>12.1</v>
      </c>
      <c r="O259" s="16" t="str">
        <f>IF(electric_vehicles_spec_2025_csv[[#This Row],[acceleration_0_100_s]]&lt;4,"0–3.9 s",IF(electric_vehicles_spec_2025_csv[[#This Row],[acceleration_0_100_s]]&lt;6,"4.0–5.9 s",IF(electric_vehicles_spec_2025_csv[[#This Row],[acceleration_0_100_s]]&lt;8,"6.0–7.9 s","8.0+ s")))</f>
        <v>8.0+ s</v>
      </c>
      <c r="P259" s="16">
        <v>96</v>
      </c>
      <c r="Q259" s="16" t="str">
        <f>IF(electric_vehicles_spec_2025_csv[[#This Row],[fast_charging_power_kw_dc]]&lt;50,"0–49 kW",IF(electric_vehicles_spec_2025_csv[[#This Row],[fast_charging_power_kw_dc]]&lt;100,"50–99 kW",IF(electric_vehicles_spec_2025_csv[[#This Row],[fast_charging_power_kw_dc]]&lt;150,"100–149 kW","150+ kW")))</f>
        <v>50–99 kW</v>
      </c>
      <c r="R259" s="16" t="s">
        <v>25</v>
      </c>
      <c r="S259" s="16">
        <v>0</v>
      </c>
      <c r="T259" s="16" t="s">
        <v>689</v>
      </c>
      <c r="U259" s="16">
        <v>8</v>
      </c>
      <c r="V259" s="16" t="s">
        <v>27</v>
      </c>
      <c r="W259" s="16" t="s">
        <v>244</v>
      </c>
      <c r="X259" s="16">
        <v>5140</v>
      </c>
      <c r="Y259" s="16">
        <v>1928</v>
      </c>
      <c r="Z259" s="16">
        <v>1890</v>
      </c>
      <c r="AA259" s="16" t="s">
        <v>245</v>
      </c>
      <c r="AB259" s="16" t="s">
        <v>692</v>
      </c>
    </row>
    <row r="260" spans="1:28" x14ac:dyDescent="0.3">
      <c r="A260" s="16" t="s">
        <v>693</v>
      </c>
      <c r="B260" s="16" t="s">
        <v>694</v>
      </c>
      <c r="C260" s="16">
        <v>160</v>
      </c>
      <c r="D26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60" s="16">
        <v>38.5</v>
      </c>
      <c r="F260" s="16" t="str">
        <f>IF(electric_vehicles_spec_2025_csv[[#This Row],[battery_capacity_kWh]]&lt;=30, "0–30 kWh", IF(electric_vehicles_spec_2025_csv[[#This Row],[battery_capacity_kWh]]&lt;=60, "31–60 kWh", "61+ kWh"))</f>
        <v>31–60 kWh</v>
      </c>
      <c r="G260" s="16" t="s">
        <v>24</v>
      </c>
      <c r="H260" s="16"/>
      <c r="I260" s="16">
        <v>290</v>
      </c>
      <c r="J260" s="16">
        <v>129</v>
      </c>
      <c r="K260" s="16" t="str">
        <f t="shared" si="4"/>
        <v>0–130 Wh/km</v>
      </c>
      <c r="L260" s="16">
        <v>230</v>
      </c>
      <c r="M260" s="16" t="str">
        <f>IF(electric_vehicles_spec_2025_csv[[#This Row],[range_km]]&lt;=200, "0–200 km",IF(electric_vehicles_spec_2025_csv[[#This Row],[range_km]]&lt;=400, "201–400 km", "401+ km"))</f>
        <v>201–400 km</v>
      </c>
      <c r="N260" s="16">
        <v>7.9</v>
      </c>
      <c r="O260" s="16" t="str">
        <f>IF(electric_vehicles_spec_2025_csv[[#This Row],[acceleration_0_100_s]]&lt;4,"0–3.9 s",IF(electric_vehicles_spec_2025_csv[[#This Row],[acceleration_0_100_s]]&lt;6,"4.0–5.9 s",IF(electric_vehicles_spec_2025_csv[[#This Row],[acceleration_0_100_s]]&lt;8,"6.0–7.9 s","8.0+ s")))</f>
        <v>6.0–7.9 s</v>
      </c>
      <c r="P260" s="16">
        <v>60</v>
      </c>
      <c r="Q260" s="16" t="str">
        <f>IF(electric_vehicles_spec_2025_csv[[#This Row],[fast_charging_power_kw_dc]]&lt;50,"0–49 kW",IF(electric_vehicles_spec_2025_csv[[#This Row],[fast_charging_power_kw_dc]]&lt;100,"50–99 kW",IF(electric_vehicles_spec_2025_csv[[#This Row],[fast_charging_power_kw_dc]]&lt;150,"100–149 kW","150+ kW")))</f>
        <v>50–99 kW</v>
      </c>
      <c r="R260" s="16" t="s">
        <v>25</v>
      </c>
      <c r="S260" s="16">
        <v>750</v>
      </c>
      <c r="T260" s="16" t="s">
        <v>695</v>
      </c>
      <c r="U260" s="16">
        <v>5</v>
      </c>
      <c r="V260" s="16" t="s">
        <v>27</v>
      </c>
      <c r="W260" s="16" t="s">
        <v>35</v>
      </c>
      <c r="X260" s="16">
        <v>4079</v>
      </c>
      <c r="Y260" s="16">
        <v>1754</v>
      </c>
      <c r="Z260" s="16">
        <v>1514</v>
      </c>
      <c r="AA260" s="16" t="s">
        <v>36</v>
      </c>
      <c r="AB260" s="16" t="s">
        <v>696</v>
      </c>
    </row>
    <row r="261" spans="1:28" x14ac:dyDescent="0.3">
      <c r="A261" s="16" t="s">
        <v>693</v>
      </c>
      <c r="B261" s="16" t="s">
        <v>697</v>
      </c>
      <c r="C261" s="16">
        <v>200</v>
      </c>
      <c r="D26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61" s="16">
        <v>49.2</v>
      </c>
      <c r="F261" s="16" t="str">
        <f>IF(electric_vehicles_spec_2025_csv[[#This Row],[battery_capacity_kWh]]&lt;=30, "0–30 kWh", IF(electric_vehicles_spec_2025_csv[[#This Row],[battery_capacity_kWh]]&lt;=60, "31–60 kWh", "61+ kWh"))</f>
        <v>31–60 kWh</v>
      </c>
      <c r="G261" s="16" t="s">
        <v>24</v>
      </c>
      <c r="H261" s="16"/>
      <c r="I261" s="16">
        <v>350</v>
      </c>
      <c r="J261" s="16">
        <v>143</v>
      </c>
      <c r="K261" s="16" t="str">
        <f t="shared" si="4"/>
        <v>131–160 Wh/km</v>
      </c>
      <c r="L261" s="16">
        <v>280</v>
      </c>
      <c r="M261" s="16" t="str">
        <f>IF(electric_vehicles_spec_2025_csv[[#This Row],[range_km]]&lt;=200, "0–200 km",IF(electric_vehicles_spec_2025_csv[[#This Row],[range_km]]&lt;=400, "201–400 km", "401+ km"))</f>
        <v>201–400 km</v>
      </c>
      <c r="N261" s="16">
        <v>6.4</v>
      </c>
      <c r="O261" s="16" t="str">
        <f>IF(electric_vehicles_spec_2025_csv[[#This Row],[acceleration_0_100_s]]&lt;4,"0–3.9 s",IF(electric_vehicles_spec_2025_csv[[#This Row],[acceleration_0_100_s]]&lt;6,"4.0–5.9 s",IF(electric_vehicles_spec_2025_csv[[#This Row],[acceleration_0_100_s]]&lt;8,"6.0–7.9 s","8.0+ s")))</f>
        <v>6.0–7.9 s</v>
      </c>
      <c r="P261" s="16">
        <v>75</v>
      </c>
      <c r="Q261" s="16" t="str">
        <f>IF(electric_vehicles_spec_2025_csv[[#This Row],[fast_charging_power_kw_dc]]&lt;50,"0–49 kW",IF(electric_vehicles_spec_2025_csv[[#This Row],[fast_charging_power_kw_dc]]&lt;100,"50–99 kW",IF(electric_vehicles_spec_2025_csv[[#This Row],[fast_charging_power_kw_dc]]&lt;150,"100–149 kW","150+ kW")))</f>
        <v>50–99 kW</v>
      </c>
      <c r="R261" s="16" t="s">
        <v>25</v>
      </c>
      <c r="S261" s="16">
        <v>750</v>
      </c>
      <c r="T261" s="16" t="s">
        <v>695</v>
      </c>
      <c r="U261" s="16">
        <v>5</v>
      </c>
      <c r="V261" s="16" t="s">
        <v>27</v>
      </c>
      <c r="W261" s="16" t="s">
        <v>35</v>
      </c>
      <c r="X261" s="16">
        <v>4079</v>
      </c>
      <c r="Y261" s="16">
        <v>1754</v>
      </c>
      <c r="Z261" s="16">
        <v>1514</v>
      </c>
      <c r="AA261" s="16" t="s">
        <v>36</v>
      </c>
      <c r="AB261" s="16" t="s">
        <v>698</v>
      </c>
    </row>
    <row r="262" spans="1:28" x14ac:dyDescent="0.3">
      <c r="A262" s="16" t="s">
        <v>693</v>
      </c>
      <c r="B262" s="16" t="s">
        <v>699</v>
      </c>
      <c r="C262" s="16">
        <v>170</v>
      </c>
      <c r="D26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62" s="16">
        <v>49.2</v>
      </c>
      <c r="F262" s="16" t="str">
        <f>IF(electric_vehicles_spec_2025_csv[[#This Row],[battery_capacity_kWh]]&lt;=30, "0–30 kWh", IF(electric_vehicles_spec_2025_csv[[#This Row],[battery_capacity_kWh]]&lt;=60, "31–60 kWh", "61+ kWh"))</f>
        <v>31–60 kWh</v>
      </c>
      <c r="G262" s="16" t="s">
        <v>24</v>
      </c>
      <c r="H262" s="16"/>
      <c r="I262" s="16">
        <v>330</v>
      </c>
      <c r="J262" s="16">
        <v>129</v>
      </c>
      <c r="K262" s="16" t="str">
        <f t="shared" si="4"/>
        <v>0–130 Wh/km</v>
      </c>
      <c r="L262" s="16">
        <v>290</v>
      </c>
      <c r="M262" s="16" t="str">
        <f>IF(electric_vehicles_spec_2025_csv[[#This Row],[range_km]]&lt;=200, "0–200 km",IF(electric_vehicles_spec_2025_csv[[#This Row],[range_km]]&lt;=400, "201–400 km", "401+ km"))</f>
        <v>201–400 km</v>
      </c>
      <c r="N262" s="16">
        <v>7.1</v>
      </c>
      <c r="O262" s="16" t="str">
        <f>IF(electric_vehicles_spec_2025_csv[[#This Row],[acceleration_0_100_s]]&lt;4,"0–3.9 s",IF(electric_vehicles_spec_2025_csv[[#This Row],[acceleration_0_100_s]]&lt;6,"4.0–5.9 s",IF(electric_vehicles_spec_2025_csv[[#This Row],[acceleration_0_100_s]]&lt;8,"6.0–7.9 s","8.0+ s")))</f>
        <v>6.0–7.9 s</v>
      </c>
      <c r="P262" s="16">
        <v>75</v>
      </c>
      <c r="Q262" s="16" t="str">
        <f>IF(electric_vehicles_spec_2025_csv[[#This Row],[fast_charging_power_kw_dc]]&lt;50,"0–49 kW",IF(electric_vehicles_spec_2025_csv[[#This Row],[fast_charging_power_kw_dc]]&lt;100,"50–99 kW",IF(electric_vehicles_spec_2025_csv[[#This Row],[fast_charging_power_kw_dc]]&lt;150,"100–149 kW","150+ kW")))</f>
        <v>50–99 kW</v>
      </c>
      <c r="R262" s="16" t="s">
        <v>25</v>
      </c>
      <c r="S262" s="16">
        <v>750</v>
      </c>
      <c r="T262" s="16" t="s">
        <v>695</v>
      </c>
      <c r="U262" s="16">
        <v>5</v>
      </c>
      <c r="V262" s="16" t="s">
        <v>27</v>
      </c>
      <c r="W262" s="16" t="s">
        <v>35</v>
      </c>
      <c r="X262" s="16">
        <v>4079</v>
      </c>
      <c r="Y262" s="16">
        <v>1754</v>
      </c>
      <c r="Z262" s="16">
        <v>1514</v>
      </c>
      <c r="AA262" s="16" t="s">
        <v>36</v>
      </c>
      <c r="AB262" s="16" t="s">
        <v>700</v>
      </c>
    </row>
    <row r="263" spans="1:28" x14ac:dyDescent="0.3">
      <c r="A263" s="16" t="s">
        <v>693</v>
      </c>
      <c r="B263" s="16" t="s">
        <v>701</v>
      </c>
      <c r="C263" s="16">
        <v>160</v>
      </c>
      <c r="D26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63" s="16">
        <v>36.6</v>
      </c>
      <c r="F263" s="16" t="str">
        <f>IF(electric_vehicles_spec_2025_csv[[#This Row],[battery_capacity_kWh]]&lt;=30, "0–30 kWh", IF(electric_vehicles_spec_2025_csv[[#This Row],[battery_capacity_kWh]]&lt;=60, "31–60 kWh", "61+ kWh"))</f>
        <v>31–60 kWh</v>
      </c>
      <c r="G263" s="16" t="s">
        <v>24</v>
      </c>
      <c r="H263" s="16"/>
      <c r="I263" s="16">
        <v>290</v>
      </c>
      <c r="J263" s="16">
        <v>125</v>
      </c>
      <c r="K263" s="16" t="str">
        <f t="shared" si="4"/>
        <v>0–130 Wh/km</v>
      </c>
      <c r="L263" s="16">
        <v>250</v>
      </c>
      <c r="M263" s="16" t="str">
        <f>IF(electric_vehicles_spec_2025_csv[[#This Row],[range_km]]&lt;=200, "0–200 km",IF(electric_vehicles_spec_2025_csv[[#This Row],[range_km]]&lt;=400, "201–400 km", "401+ km"))</f>
        <v>201–400 km</v>
      </c>
      <c r="N263" s="16">
        <v>7.3</v>
      </c>
      <c r="O263" s="16" t="str">
        <f>IF(electric_vehicles_spec_2025_csv[[#This Row],[acceleration_0_100_s]]&lt;4,"0–3.9 s",IF(electric_vehicles_spec_2025_csv[[#This Row],[acceleration_0_100_s]]&lt;6,"4.0–5.9 s",IF(electric_vehicles_spec_2025_csv[[#This Row],[acceleration_0_100_s]]&lt;8,"6.0–7.9 s","8.0+ s")))</f>
        <v>6.0–7.9 s</v>
      </c>
      <c r="P263" s="16">
        <v>60</v>
      </c>
      <c r="Q263" s="16" t="str">
        <f>IF(electric_vehicles_spec_2025_csv[[#This Row],[fast_charging_power_kw_dc]]&lt;50,"0–49 kW",IF(electric_vehicles_spec_2025_csv[[#This Row],[fast_charging_power_kw_dc]]&lt;100,"50–99 kW",IF(electric_vehicles_spec_2025_csv[[#This Row],[fast_charging_power_kw_dc]]&lt;150,"100–149 kW","150+ kW")))</f>
        <v>50–99 kW</v>
      </c>
      <c r="R263" s="16" t="s">
        <v>25</v>
      </c>
      <c r="S263" s="16">
        <v>0</v>
      </c>
      <c r="T263" s="16" t="s">
        <v>702</v>
      </c>
      <c r="U263" s="16">
        <v>4</v>
      </c>
      <c r="V263" s="16" t="s">
        <v>27</v>
      </c>
      <c r="W263" s="16" t="s">
        <v>28</v>
      </c>
      <c r="X263" s="16">
        <v>3858</v>
      </c>
      <c r="Y263" s="16">
        <v>1756</v>
      </c>
      <c r="Z263" s="16">
        <v>1460</v>
      </c>
      <c r="AA263" s="16" t="s">
        <v>29</v>
      </c>
      <c r="AB263" s="16" t="s">
        <v>703</v>
      </c>
    </row>
    <row r="264" spans="1:28" x14ac:dyDescent="0.3">
      <c r="A264" s="16" t="s">
        <v>693</v>
      </c>
      <c r="B264" s="16" t="s">
        <v>704</v>
      </c>
      <c r="C264" s="16">
        <v>200</v>
      </c>
      <c r="D26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64" s="16">
        <v>49.2</v>
      </c>
      <c r="F264" s="16" t="str">
        <f>IF(electric_vehicles_spec_2025_csv[[#This Row],[battery_capacity_kWh]]&lt;=30, "0–30 kWh", IF(electric_vehicles_spec_2025_csv[[#This Row],[battery_capacity_kWh]]&lt;=60, "31–60 kWh", "61+ kWh"))</f>
        <v>31–60 kWh</v>
      </c>
      <c r="G264" s="16" t="s">
        <v>24</v>
      </c>
      <c r="H264" s="16"/>
      <c r="I264" s="16">
        <v>350</v>
      </c>
      <c r="J264" s="16">
        <v>135</v>
      </c>
      <c r="K264" s="16" t="str">
        <f t="shared" si="4"/>
        <v>131–160 Wh/km</v>
      </c>
      <c r="L264" s="16">
        <v>290</v>
      </c>
      <c r="M264" s="16" t="str">
        <f>IF(electric_vehicles_spec_2025_csv[[#This Row],[range_km]]&lt;=200, "0–200 km",IF(electric_vehicles_spec_2025_csv[[#This Row],[range_km]]&lt;=400, "201–400 km", "401+ km"))</f>
        <v>201–400 km</v>
      </c>
      <c r="N264" s="16">
        <v>5.9</v>
      </c>
      <c r="O264" s="16" t="str">
        <f>IF(electric_vehicles_spec_2025_csv[[#This Row],[acceleration_0_100_s]]&lt;4,"0–3.9 s",IF(electric_vehicles_spec_2025_csv[[#This Row],[acceleration_0_100_s]]&lt;6,"4.0–5.9 s",IF(electric_vehicles_spec_2025_csv[[#This Row],[acceleration_0_100_s]]&lt;8,"6.0–7.9 s","8.0+ s")))</f>
        <v>4.0–5.9 s</v>
      </c>
      <c r="P264" s="16">
        <v>75</v>
      </c>
      <c r="Q264" s="16" t="str">
        <f>IF(electric_vehicles_spec_2025_csv[[#This Row],[fast_charging_power_kw_dc]]&lt;50,"0–49 kW",IF(electric_vehicles_spec_2025_csv[[#This Row],[fast_charging_power_kw_dc]]&lt;100,"50–99 kW",IF(electric_vehicles_spec_2025_csv[[#This Row],[fast_charging_power_kw_dc]]&lt;150,"100–149 kW","150+ kW")))</f>
        <v>50–99 kW</v>
      </c>
      <c r="R264" s="16" t="s">
        <v>25</v>
      </c>
      <c r="S264" s="16">
        <v>0</v>
      </c>
      <c r="T264" s="16" t="s">
        <v>702</v>
      </c>
      <c r="U264" s="16">
        <v>4</v>
      </c>
      <c r="V264" s="16" t="s">
        <v>27</v>
      </c>
      <c r="W264" s="16" t="s">
        <v>28</v>
      </c>
      <c r="X264" s="16">
        <v>3858</v>
      </c>
      <c r="Y264" s="16">
        <v>1756</v>
      </c>
      <c r="Z264" s="16">
        <v>1460</v>
      </c>
      <c r="AA264" s="16" t="s">
        <v>29</v>
      </c>
      <c r="AB264" s="16" t="s">
        <v>705</v>
      </c>
    </row>
    <row r="265" spans="1:28" x14ac:dyDescent="0.3">
      <c r="A265" s="16" t="s">
        <v>693</v>
      </c>
      <c r="B265" s="16" t="s">
        <v>706</v>
      </c>
      <c r="C265" s="16">
        <v>170</v>
      </c>
      <c r="D26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65" s="16">
        <v>49.2</v>
      </c>
      <c r="F265" s="16" t="str">
        <f>IF(electric_vehicles_spec_2025_csv[[#This Row],[battery_capacity_kWh]]&lt;=30, "0–30 kWh", IF(electric_vehicles_spec_2025_csv[[#This Row],[battery_capacity_kWh]]&lt;=60, "31–60 kWh", "61+ kWh"))</f>
        <v>31–60 kWh</v>
      </c>
      <c r="G265" s="16" t="s">
        <v>24</v>
      </c>
      <c r="H265" s="16"/>
      <c r="I265" s="16">
        <v>330</v>
      </c>
      <c r="J265" s="16">
        <v>127</v>
      </c>
      <c r="K265" s="16" t="str">
        <f t="shared" si="4"/>
        <v>0–130 Wh/km</v>
      </c>
      <c r="L265" s="16">
        <v>330</v>
      </c>
      <c r="M265" s="16" t="str">
        <f>IF(electric_vehicles_spec_2025_csv[[#This Row],[range_km]]&lt;=200, "0–200 km",IF(electric_vehicles_spec_2025_csv[[#This Row],[range_km]]&lt;=400, "201–400 km", "401+ km"))</f>
        <v>201–400 km</v>
      </c>
      <c r="N265" s="16">
        <v>6.7</v>
      </c>
      <c r="O265" s="16" t="str">
        <f>IF(electric_vehicles_spec_2025_csv[[#This Row],[acceleration_0_100_s]]&lt;4,"0–3.9 s",IF(electric_vehicles_spec_2025_csv[[#This Row],[acceleration_0_100_s]]&lt;6,"4.0–5.9 s",IF(electric_vehicles_spec_2025_csv[[#This Row],[acceleration_0_100_s]]&lt;8,"6.0–7.9 s","8.0+ s")))</f>
        <v>6.0–7.9 s</v>
      </c>
      <c r="P265" s="16">
        <v>75</v>
      </c>
      <c r="Q265" s="16" t="str">
        <f>IF(electric_vehicles_spec_2025_csv[[#This Row],[fast_charging_power_kw_dc]]&lt;50,"0–49 kW",IF(electric_vehicles_spec_2025_csv[[#This Row],[fast_charging_power_kw_dc]]&lt;100,"50–99 kW",IF(electric_vehicles_spec_2025_csv[[#This Row],[fast_charging_power_kw_dc]]&lt;150,"100–149 kW","150+ kW")))</f>
        <v>50–99 kW</v>
      </c>
      <c r="R265" s="16" t="s">
        <v>25</v>
      </c>
      <c r="S265" s="16">
        <v>0</v>
      </c>
      <c r="T265" s="16" t="s">
        <v>702</v>
      </c>
      <c r="U265" s="16">
        <v>4</v>
      </c>
      <c r="V265" s="16" t="s">
        <v>27</v>
      </c>
      <c r="W265" s="16" t="s">
        <v>28</v>
      </c>
      <c r="X265" s="16">
        <v>3858</v>
      </c>
      <c r="Y265" s="16">
        <v>1756</v>
      </c>
      <c r="Z265" s="16">
        <v>1460</v>
      </c>
      <c r="AA265" s="16" t="s">
        <v>29</v>
      </c>
      <c r="AB265" s="16" t="s">
        <v>707</v>
      </c>
    </row>
    <row r="266" spans="1:28" x14ac:dyDescent="0.3">
      <c r="A266" s="16" t="s">
        <v>693</v>
      </c>
      <c r="B266" s="16" t="s">
        <v>708</v>
      </c>
      <c r="C266" s="16">
        <v>170</v>
      </c>
      <c r="D26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66" s="16">
        <v>64.599999999999994</v>
      </c>
      <c r="F266" s="16" t="str">
        <f>IF(electric_vehicles_spec_2025_csv[[#This Row],[battery_capacity_kWh]]&lt;=30, "0–30 kWh", IF(electric_vehicles_spec_2025_csv[[#This Row],[battery_capacity_kWh]]&lt;=60, "31–60 kWh", "61+ kWh"))</f>
        <v>61+ kWh</v>
      </c>
      <c r="G266" s="16" t="s">
        <v>24</v>
      </c>
      <c r="H266" s="16"/>
      <c r="I266" s="16">
        <v>250</v>
      </c>
      <c r="J266" s="16">
        <v>140</v>
      </c>
      <c r="K266" s="16" t="str">
        <f t="shared" si="4"/>
        <v>131–160 Wh/km</v>
      </c>
      <c r="L266" s="16">
        <v>380</v>
      </c>
      <c r="M266" s="16" t="str">
        <f>IF(electric_vehicles_spec_2025_csv[[#This Row],[range_km]]&lt;=200, "0–200 km",IF(electric_vehicles_spec_2025_csv[[#This Row],[range_km]]&lt;=400, "201–400 km", "401+ km"))</f>
        <v>201–400 km</v>
      </c>
      <c r="N266" s="16">
        <v>8.6</v>
      </c>
      <c r="O266" s="16" t="str">
        <f>IF(electric_vehicles_spec_2025_csv[[#This Row],[acceleration_0_100_s]]&lt;4,"0–3.9 s",IF(electric_vehicles_spec_2025_csv[[#This Row],[acceleration_0_100_s]]&lt;6,"4.0–5.9 s",IF(electric_vehicles_spec_2025_csv[[#This Row],[acceleration_0_100_s]]&lt;8,"6.0–7.9 s","8.0+ s")))</f>
        <v>8.0+ s</v>
      </c>
      <c r="P266" s="16">
        <v>94</v>
      </c>
      <c r="Q266" s="16" t="str">
        <f>IF(electric_vehicles_spec_2025_csv[[#This Row],[fast_charging_power_kw_dc]]&lt;50,"0–49 kW",IF(electric_vehicles_spec_2025_csv[[#This Row],[fast_charging_power_kw_dc]]&lt;100,"50–99 kW",IF(electric_vehicles_spec_2025_csv[[#This Row],[fast_charging_power_kw_dc]]&lt;150,"100–149 kW","150+ kW")))</f>
        <v>50–99 kW</v>
      </c>
      <c r="R266" s="16" t="s">
        <v>25</v>
      </c>
      <c r="S266" s="16">
        <v>750</v>
      </c>
      <c r="T266" s="16" t="s">
        <v>254</v>
      </c>
      <c r="U266" s="16">
        <v>5</v>
      </c>
      <c r="V266" s="16" t="s">
        <v>27</v>
      </c>
      <c r="W266" s="16" t="s">
        <v>43</v>
      </c>
      <c r="X266" s="16">
        <v>4433</v>
      </c>
      <c r="Y266" s="16">
        <v>1843</v>
      </c>
      <c r="Z266" s="16">
        <v>1656</v>
      </c>
      <c r="AA266" s="16" t="s">
        <v>36</v>
      </c>
      <c r="AB266" s="16" t="s">
        <v>709</v>
      </c>
    </row>
    <row r="267" spans="1:28" x14ac:dyDescent="0.3">
      <c r="A267" s="16" t="s">
        <v>693</v>
      </c>
      <c r="B267" s="16" t="s">
        <v>710</v>
      </c>
      <c r="C267" s="16">
        <v>180</v>
      </c>
      <c r="D26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267" s="16">
        <v>64.599999999999994</v>
      </c>
      <c r="F267" s="16" t="str">
        <f>IF(electric_vehicles_spec_2025_csv[[#This Row],[battery_capacity_kWh]]&lt;=30, "0–30 kWh", IF(electric_vehicles_spec_2025_csv[[#This Row],[battery_capacity_kWh]]&lt;=60, "31–60 kWh", "61+ kWh"))</f>
        <v>61+ kWh</v>
      </c>
      <c r="G267" s="16" t="s">
        <v>24</v>
      </c>
      <c r="H267" s="16"/>
      <c r="I267" s="16">
        <v>494</v>
      </c>
      <c r="J267" s="16">
        <v>149</v>
      </c>
      <c r="K267" s="16" t="str">
        <f t="shared" si="4"/>
        <v>131–160 Wh/km</v>
      </c>
      <c r="L267" s="16">
        <v>365</v>
      </c>
      <c r="M267" s="16" t="str">
        <f>IF(electric_vehicles_spec_2025_csv[[#This Row],[range_km]]&lt;=200, "0–200 km",IF(electric_vehicles_spec_2025_csv[[#This Row],[range_km]]&lt;=400, "201–400 km", "401+ km"))</f>
        <v>201–400 km</v>
      </c>
      <c r="N267" s="16">
        <v>5.6</v>
      </c>
      <c r="O267" s="16" t="str">
        <f>IF(electric_vehicles_spec_2025_csv[[#This Row],[acceleration_0_100_s]]&lt;4,"0–3.9 s",IF(electric_vehicles_spec_2025_csv[[#This Row],[acceleration_0_100_s]]&lt;6,"4.0–5.9 s",IF(electric_vehicles_spec_2025_csv[[#This Row],[acceleration_0_100_s]]&lt;8,"6.0–7.9 s","8.0+ s")))</f>
        <v>4.0–5.9 s</v>
      </c>
      <c r="P267" s="16">
        <v>94</v>
      </c>
      <c r="Q267" s="16" t="str">
        <f>IF(electric_vehicles_spec_2025_csv[[#This Row],[fast_charging_power_kw_dc]]&lt;50,"0–49 kW",IF(electric_vehicles_spec_2025_csv[[#This Row],[fast_charging_power_kw_dc]]&lt;100,"50–99 kW",IF(electric_vehicles_spec_2025_csv[[#This Row],[fast_charging_power_kw_dc]]&lt;150,"100–149 kW","150+ kW")))</f>
        <v>50–99 kW</v>
      </c>
      <c r="R267" s="16" t="s">
        <v>25</v>
      </c>
      <c r="S267" s="16">
        <v>1200</v>
      </c>
      <c r="T267" s="16" t="s">
        <v>254</v>
      </c>
      <c r="U267" s="16">
        <v>5</v>
      </c>
      <c r="V267" s="16" t="s">
        <v>70</v>
      </c>
      <c r="W267" s="16" t="s">
        <v>43</v>
      </c>
      <c r="X267" s="16">
        <v>4433</v>
      </c>
      <c r="Y267" s="16">
        <v>1843</v>
      </c>
      <c r="Z267" s="16">
        <v>1656</v>
      </c>
      <c r="AA267" s="16" t="s">
        <v>36</v>
      </c>
      <c r="AB267" s="16" t="s">
        <v>711</v>
      </c>
    </row>
    <row r="268" spans="1:28" x14ac:dyDescent="0.3">
      <c r="A268" s="16" t="s">
        <v>712</v>
      </c>
      <c r="B268" s="16" t="s">
        <v>713</v>
      </c>
      <c r="C268" s="16">
        <v>200</v>
      </c>
      <c r="D26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68" s="16">
        <v>90</v>
      </c>
      <c r="F268" s="16" t="str">
        <f>IF(electric_vehicles_spec_2025_csv[[#This Row],[battery_capacity_kWh]]&lt;=30, "0–30 kWh", IF(electric_vehicles_spec_2025_csv[[#This Row],[battery_capacity_kWh]]&lt;=60, "31–60 kWh", "61+ kWh"))</f>
        <v>61+ kWh</v>
      </c>
      <c r="G268" s="16" t="s">
        <v>24</v>
      </c>
      <c r="H268" s="16">
        <v>96</v>
      </c>
      <c r="I268" s="16">
        <v>700</v>
      </c>
      <c r="J268" s="16">
        <v>170</v>
      </c>
      <c r="K268" s="16" t="str">
        <f t="shared" si="4"/>
        <v>161+ Wh/km</v>
      </c>
      <c r="L268" s="16">
        <v>435</v>
      </c>
      <c r="M268" s="16" t="str">
        <f>IF(electric_vehicles_spec_2025_csv[[#This Row],[range_km]]&lt;=200, "0–200 km",IF(electric_vehicles_spec_2025_csv[[#This Row],[range_km]]&lt;=400, "201–400 km", "401+ km"))</f>
        <v>401+ km</v>
      </c>
      <c r="N268" s="16">
        <v>4.5</v>
      </c>
      <c r="O268" s="16" t="str">
        <f>IF(electric_vehicles_spec_2025_csv[[#This Row],[acceleration_0_100_s]]&lt;4,"0–3.9 s",IF(electric_vehicles_spec_2025_csv[[#This Row],[acceleration_0_100_s]]&lt;6,"4.0–5.9 s",IF(electric_vehicles_spec_2025_csv[[#This Row],[acceleration_0_100_s]]&lt;8,"6.0–7.9 s","8.0+ s")))</f>
        <v>4.0–5.9 s</v>
      </c>
      <c r="P268" s="16">
        <v>135</v>
      </c>
      <c r="Q268" s="16" t="str">
        <f>IF(electric_vehicles_spec_2025_csv[[#This Row],[fast_charging_power_kw_dc]]&lt;50,"0–49 kW",IF(electric_vehicles_spec_2025_csv[[#This Row],[fast_charging_power_kw_dc]]&lt;100,"50–99 kW",IF(electric_vehicles_spec_2025_csv[[#This Row],[fast_charging_power_kw_dc]]&lt;150,"100–149 kW","150+ kW")))</f>
        <v>100–149 kW</v>
      </c>
      <c r="R268" s="16" t="s">
        <v>25</v>
      </c>
      <c r="S268" s="16">
        <v>1200</v>
      </c>
      <c r="T268" s="16" t="s">
        <v>714</v>
      </c>
      <c r="U268" s="16">
        <v>5</v>
      </c>
      <c r="V268" s="16" t="s">
        <v>70</v>
      </c>
      <c r="W268" s="16" t="s">
        <v>64</v>
      </c>
      <c r="X268" s="16">
        <v>4854</v>
      </c>
      <c r="Y268" s="16">
        <v>1995</v>
      </c>
      <c r="Z268" s="16">
        <v>1703</v>
      </c>
      <c r="AA268" s="16" t="s">
        <v>36</v>
      </c>
      <c r="AB268" s="16" t="s">
        <v>715</v>
      </c>
    </row>
    <row r="269" spans="1:28" x14ac:dyDescent="0.3">
      <c r="A269" s="16" t="s">
        <v>712</v>
      </c>
      <c r="B269" s="16" t="s">
        <v>716</v>
      </c>
      <c r="C269" s="16">
        <v>200</v>
      </c>
      <c r="D26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69" s="16">
        <v>73.5</v>
      </c>
      <c r="F269" s="16" t="str">
        <f>IF(electric_vehicles_spec_2025_csv[[#This Row],[battery_capacity_kWh]]&lt;=30, "0–30 kWh", IF(electric_vehicles_spec_2025_csv[[#This Row],[battery_capacity_kWh]]&lt;=60, "31–60 kWh", "61+ kWh"))</f>
        <v>61+ kWh</v>
      </c>
      <c r="G269" s="16" t="s">
        <v>24</v>
      </c>
      <c r="H269" s="16">
        <v>118</v>
      </c>
      <c r="I269" s="16">
        <v>700</v>
      </c>
      <c r="J269" s="16">
        <v>181</v>
      </c>
      <c r="K269" s="16" t="str">
        <f t="shared" si="4"/>
        <v>161+ Wh/km</v>
      </c>
      <c r="L269" s="16">
        <v>365</v>
      </c>
      <c r="M269" s="16" t="str">
        <f>IF(electric_vehicles_spec_2025_csv[[#This Row],[range_km]]&lt;=200, "0–200 km",IF(electric_vehicles_spec_2025_csv[[#This Row],[range_km]]&lt;=400, "201–400 km", "401+ km"))</f>
        <v>201–400 km</v>
      </c>
      <c r="N269" s="16">
        <v>4.5</v>
      </c>
      <c r="O269" s="16" t="str">
        <f>IF(electric_vehicles_spec_2025_csv[[#This Row],[acceleration_0_100_s]]&lt;4,"0–3.9 s",IF(electric_vehicles_spec_2025_csv[[#This Row],[acceleration_0_100_s]]&lt;6,"4.0–5.9 s",IF(electric_vehicles_spec_2025_csv[[#This Row],[acceleration_0_100_s]]&lt;8,"6.0–7.9 s","8.0+ s")))</f>
        <v>4.0–5.9 s</v>
      </c>
      <c r="P269" s="16">
        <v>110</v>
      </c>
      <c r="Q269" s="16" t="str">
        <f>IF(electric_vehicles_spec_2025_csv[[#This Row],[fast_charging_power_kw_dc]]&lt;50,"0–49 kW",IF(electric_vehicles_spec_2025_csv[[#This Row],[fast_charging_power_kw_dc]]&lt;100,"50–99 kW",IF(electric_vehicles_spec_2025_csv[[#This Row],[fast_charging_power_kw_dc]]&lt;150,"100–149 kW","150+ kW")))</f>
        <v>100–149 kW</v>
      </c>
      <c r="R269" s="16" t="s">
        <v>25</v>
      </c>
      <c r="S269" s="16">
        <v>1200</v>
      </c>
      <c r="T269" s="16" t="s">
        <v>714</v>
      </c>
      <c r="U269" s="16">
        <v>5</v>
      </c>
      <c r="V269" s="16" t="s">
        <v>70</v>
      </c>
      <c r="W269" s="16" t="s">
        <v>64</v>
      </c>
      <c r="X269" s="16">
        <v>4854</v>
      </c>
      <c r="Y269" s="16">
        <v>1995</v>
      </c>
      <c r="Z269" s="16">
        <v>1703</v>
      </c>
      <c r="AA269" s="16" t="s">
        <v>36</v>
      </c>
      <c r="AB269" s="16" t="s">
        <v>717</v>
      </c>
    </row>
    <row r="270" spans="1:28" x14ac:dyDescent="0.3">
      <c r="A270" s="16" t="s">
        <v>712</v>
      </c>
      <c r="B270" s="16" t="s">
        <v>718</v>
      </c>
      <c r="C270" s="16">
        <v>200</v>
      </c>
      <c r="D27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0" s="16">
        <v>90</v>
      </c>
      <c r="F270" s="16" t="str">
        <f>IF(electric_vehicles_spec_2025_csv[[#This Row],[battery_capacity_kWh]]&lt;=30, "0–30 kWh", IF(electric_vehicles_spec_2025_csv[[#This Row],[battery_capacity_kWh]]&lt;=60, "31–60 kWh", "61+ kWh"))</f>
        <v>61+ kWh</v>
      </c>
      <c r="G270" s="16" t="s">
        <v>24</v>
      </c>
      <c r="H270" s="16">
        <v>96</v>
      </c>
      <c r="I270" s="16">
        <v>850</v>
      </c>
      <c r="J270" s="16">
        <v>185</v>
      </c>
      <c r="K270" s="16" t="str">
        <f t="shared" si="4"/>
        <v>161+ Wh/km</v>
      </c>
      <c r="L270" s="16">
        <v>430</v>
      </c>
      <c r="M270" s="16" t="str">
        <f>IF(electric_vehicles_spec_2025_csv[[#This Row],[range_km]]&lt;=200, "0–200 km",IF(electric_vehicles_spec_2025_csv[[#This Row],[range_km]]&lt;=400, "201–400 km", "401+ km"))</f>
        <v>401+ km</v>
      </c>
      <c r="N270" s="16">
        <v>3.9</v>
      </c>
      <c r="O270" s="16" t="str">
        <f>IF(electric_vehicles_spec_2025_csv[[#This Row],[acceleration_0_100_s]]&lt;4,"0–3.9 s",IF(electric_vehicles_spec_2025_csv[[#This Row],[acceleration_0_100_s]]&lt;6,"4.0–5.9 s",IF(electric_vehicles_spec_2025_csv[[#This Row],[acceleration_0_100_s]]&lt;8,"6.0–7.9 s","8.0+ s")))</f>
        <v>0–3.9 s</v>
      </c>
      <c r="P270" s="16">
        <v>100</v>
      </c>
      <c r="Q270" s="16" t="str">
        <f>IF(electric_vehicles_spec_2025_csv[[#This Row],[fast_charging_power_kw_dc]]&lt;50,"0–49 kW",IF(electric_vehicles_spec_2025_csv[[#This Row],[fast_charging_power_kw_dc]]&lt;100,"50–99 kW",IF(electric_vehicles_spec_2025_csv[[#This Row],[fast_charging_power_kw_dc]]&lt;150,"100–149 kW","150+ kW")))</f>
        <v>100–149 kW</v>
      </c>
      <c r="R270" s="16" t="s">
        <v>25</v>
      </c>
      <c r="S270" s="16">
        <v>2000</v>
      </c>
      <c r="T270" s="16" t="s">
        <v>150</v>
      </c>
      <c r="U270" s="16">
        <v>5</v>
      </c>
      <c r="V270" s="16" t="s">
        <v>70</v>
      </c>
      <c r="W270" s="16" t="s">
        <v>239</v>
      </c>
      <c r="X270" s="16">
        <v>4912</v>
      </c>
      <c r="Y270" s="16">
        <v>1987</v>
      </c>
      <c r="Z270" s="16">
        <v>1720</v>
      </c>
      <c r="AA270" s="16" t="s">
        <v>36</v>
      </c>
      <c r="AB270" s="16" t="s">
        <v>719</v>
      </c>
    </row>
    <row r="271" spans="1:28" x14ac:dyDescent="0.3">
      <c r="A271" s="16" t="s">
        <v>712</v>
      </c>
      <c r="B271" s="16" t="s">
        <v>720</v>
      </c>
      <c r="C271" s="16">
        <v>200</v>
      </c>
      <c r="D27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1" s="16">
        <v>73.5</v>
      </c>
      <c r="F271" s="16" t="str">
        <f>IF(electric_vehicles_spec_2025_csv[[#This Row],[battery_capacity_kWh]]&lt;=30, "0–30 kWh", IF(electric_vehicles_spec_2025_csv[[#This Row],[battery_capacity_kWh]]&lt;=60, "31–60 kWh", "61+ kWh"))</f>
        <v>61+ kWh</v>
      </c>
      <c r="G271" s="16" t="s">
        <v>24</v>
      </c>
      <c r="H271" s="16">
        <v>118</v>
      </c>
      <c r="I271" s="16">
        <v>850</v>
      </c>
      <c r="J271" s="16">
        <v>198</v>
      </c>
      <c r="K271" s="16" t="str">
        <f t="shared" si="4"/>
        <v>161+ Wh/km</v>
      </c>
      <c r="L271" s="16">
        <v>355</v>
      </c>
      <c r="M271" s="16" t="str">
        <f>IF(electric_vehicles_spec_2025_csv[[#This Row],[range_km]]&lt;=200, "0–200 km",IF(electric_vehicles_spec_2025_csv[[#This Row],[range_km]]&lt;=400, "201–400 km", "401+ km"))</f>
        <v>201–400 km</v>
      </c>
      <c r="N271" s="16">
        <v>3.9</v>
      </c>
      <c r="O271" s="16" t="str">
        <f>IF(electric_vehicles_spec_2025_csv[[#This Row],[acceleration_0_100_s]]&lt;4,"0–3.9 s",IF(electric_vehicles_spec_2025_csv[[#This Row],[acceleration_0_100_s]]&lt;6,"4.0–5.9 s",IF(electric_vehicles_spec_2025_csv[[#This Row],[acceleration_0_100_s]]&lt;8,"6.0–7.9 s","8.0+ s")))</f>
        <v>0–3.9 s</v>
      </c>
      <c r="P271" s="16">
        <v>110</v>
      </c>
      <c r="Q271" s="16" t="str">
        <f>IF(electric_vehicles_spec_2025_csv[[#This Row],[fast_charging_power_kw_dc]]&lt;50,"0–49 kW",IF(electric_vehicles_spec_2025_csv[[#This Row],[fast_charging_power_kw_dc]]&lt;100,"50–99 kW",IF(electric_vehicles_spec_2025_csv[[#This Row],[fast_charging_power_kw_dc]]&lt;150,"100–149 kW","150+ kW")))</f>
        <v>100–149 kW</v>
      </c>
      <c r="R271" s="16" t="s">
        <v>25</v>
      </c>
      <c r="S271" s="16">
        <v>2000</v>
      </c>
      <c r="T271" s="16" t="s">
        <v>150</v>
      </c>
      <c r="U271" s="16">
        <v>5</v>
      </c>
      <c r="V271" s="16" t="s">
        <v>70</v>
      </c>
      <c r="W271" s="16" t="s">
        <v>239</v>
      </c>
      <c r="X271" s="16">
        <v>4912</v>
      </c>
      <c r="Y271" s="16">
        <v>1987</v>
      </c>
      <c r="Z271" s="16">
        <v>1720</v>
      </c>
      <c r="AA271" s="16" t="s">
        <v>36</v>
      </c>
      <c r="AB271" s="16" t="s">
        <v>721</v>
      </c>
    </row>
    <row r="272" spans="1:28" x14ac:dyDescent="0.3">
      <c r="A272" s="16" t="s">
        <v>712</v>
      </c>
      <c r="B272" s="16" t="s">
        <v>722</v>
      </c>
      <c r="C272" s="16">
        <v>200</v>
      </c>
      <c r="D27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2" s="16">
        <v>90</v>
      </c>
      <c r="F272" s="16" t="str">
        <f>IF(electric_vehicles_spec_2025_csv[[#This Row],[battery_capacity_kWh]]&lt;=30, "0–30 kWh", IF(electric_vehicles_spec_2025_csv[[#This Row],[battery_capacity_kWh]]&lt;=60, "31–60 kWh", "61+ kWh"))</f>
        <v>61+ kWh</v>
      </c>
      <c r="G272" s="16" t="s">
        <v>24</v>
      </c>
      <c r="H272" s="16">
        <v>96</v>
      </c>
      <c r="I272" s="16">
        <v>850</v>
      </c>
      <c r="J272" s="16">
        <v>185</v>
      </c>
      <c r="K272" s="16" t="str">
        <f t="shared" si="4"/>
        <v>161+ Wh/km</v>
      </c>
      <c r="L272" s="16">
        <v>440</v>
      </c>
      <c r="M272" s="16" t="str">
        <f>IF(electric_vehicles_spec_2025_csv[[#This Row],[range_km]]&lt;=200, "0–200 km",IF(electric_vehicles_spec_2025_csv[[#This Row],[range_km]]&lt;=400, "201–400 km", "401+ km"))</f>
        <v>401+ km</v>
      </c>
      <c r="N272" s="16">
        <v>4.0999999999999996</v>
      </c>
      <c r="O272" s="16" t="str">
        <f>IF(electric_vehicles_spec_2025_csv[[#This Row],[acceleration_0_100_s]]&lt;4,"0–3.9 s",IF(electric_vehicles_spec_2025_csv[[#This Row],[acceleration_0_100_s]]&lt;6,"4.0–5.9 s",IF(electric_vehicles_spec_2025_csv[[#This Row],[acceleration_0_100_s]]&lt;8,"6.0–7.9 s","8.0+ s")))</f>
        <v>4.0–5.9 s</v>
      </c>
      <c r="P272" s="16">
        <v>190</v>
      </c>
      <c r="Q272" s="16" t="str">
        <f>IF(electric_vehicles_spec_2025_csv[[#This Row],[fast_charging_power_kw_dc]]&lt;50,"0–49 kW",IF(electric_vehicles_spec_2025_csv[[#This Row],[fast_charging_power_kw_dc]]&lt;100,"50–99 kW",IF(electric_vehicles_spec_2025_csv[[#This Row],[fast_charging_power_kw_dc]]&lt;150,"100–149 kW","150+ kW")))</f>
        <v>150+ kW</v>
      </c>
      <c r="R272" s="16" t="s">
        <v>25</v>
      </c>
      <c r="S272" s="16">
        <v>2000</v>
      </c>
      <c r="T272" s="16" t="s">
        <v>723</v>
      </c>
      <c r="U272" s="16">
        <v>6</v>
      </c>
      <c r="V272" s="16" t="s">
        <v>70</v>
      </c>
      <c r="W272" s="16" t="s">
        <v>239</v>
      </c>
      <c r="X272" s="16">
        <v>5099</v>
      </c>
      <c r="Y272" s="16">
        <v>1989</v>
      </c>
      <c r="Z272" s="16">
        <v>1750</v>
      </c>
      <c r="AA272" s="16" t="s">
        <v>36</v>
      </c>
      <c r="AB272" s="16" t="s">
        <v>724</v>
      </c>
    </row>
    <row r="273" spans="1:28" x14ac:dyDescent="0.3">
      <c r="A273" s="16" t="s">
        <v>712</v>
      </c>
      <c r="B273" s="16" t="s">
        <v>725</v>
      </c>
      <c r="C273" s="16">
        <v>200</v>
      </c>
      <c r="D27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3" s="16">
        <v>73.5</v>
      </c>
      <c r="F273" s="16" t="str">
        <f>IF(electric_vehicles_spec_2025_csv[[#This Row],[battery_capacity_kWh]]&lt;=30, "0–30 kWh", IF(electric_vehicles_spec_2025_csv[[#This Row],[battery_capacity_kWh]]&lt;=60, "31–60 kWh", "61+ kWh"))</f>
        <v>61+ kWh</v>
      </c>
      <c r="G273" s="16" t="s">
        <v>24</v>
      </c>
      <c r="H273" s="16">
        <v>118</v>
      </c>
      <c r="I273" s="16">
        <v>850</v>
      </c>
      <c r="J273" s="16">
        <v>196</v>
      </c>
      <c r="K273" s="16" t="str">
        <f t="shared" si="4"/>
        <v>161+ Wh/km</v>
      </c>
      <c r="L273" s="16">
        <v>360</v>
      </c>
      <c r="M273" s="16" t="str">
        <f>IF(electric_vehicles_spec_2025_csv[[#This Row],[range_km]]&lt;=200, "0–200 km",IF(electric_vehicles_spec_2025_csv[[#This Row],[range_km]]&lt;=400, "201–400 km", "401+ km"))</f>
        <v>201–400 km</v>
      </c>
      <c r="N273" s="16">
        <v>4.0999999999999996</v>
      </c>
      <c r="O273" s="16" t="str">
        <f>IF(electric_vehicles_spec_2025_csv[[#This Row],[acceleration_0_100_s]]&lt;4,"0–3.9 s",IF(electric_vehicles_spec_2025_csv[[#This Row],[acceleration_0_100_s]]&lt;6,"4.0–5.9 s",IF(electric_vehicles_spec_2025_csv[[#This Row],[acceleration_0_100_s]]&lt;8,"6.0–7.9 s","8.0+ s")))</f>
        <v>4.0–5.9 s</v>
      </c>
      <c r="P273" s="16">
        <v>110</v>
      </c>
      <c r="Q273" s="16" t="str">
        <f>IF(electric_vehicles_spec_2025_csv[[#This Row],[fast_charging_power_kw_dc]]&lt;50,"0–49 kW",IF(electric_vehicles_spec_2025_csv[[#This Row],[fast_charging_power_kw_dc]]&lt;100,"50–99 kW",IF(electric_vehicles_spec_2025_csv[[#This Row],[fast_charging_power_kw_dc]]&lt;150,"100–149 kW","150+ kW")))</f>
        <v>100–149 kW</v>
      </c>
      <c r="R273" s="16" t="s">
        <v>25</v>
      </c>
      <c r="S273" s="16">
        <v>2000</v>
      </c>
      <c r="T273" s="16" t="s">
        <v>723</v>
      </c>
      <c r="U273" s="16">
        <v>6</v>
      </c>
      <c r="V273" s="16" t="s">
        <v>70</v>
      </c>
      <c r="W273" s="16" t="s">
        <v>239</v>
      </c>
      <c r="X273" s="16">
        <v>5099</v>
      </c>
      <c r="Y273" s="16">
        <v>1989</v>
      </c>
      <c r="Z273" s="16">
        <v>1750</v>
      </c>
      <c r="AA273" s="16" t="s">
        <v>36</v>
      </c>
      <c r="AB273" s="16" t="s">
        <v>726</v>
      </c>
    </row>
    <row r="274" spans="1:28" x14ac:dyDescent="0.3">
      <c r="A274" s="16" t="s">
        <v>712</v>
      </c>
      <c r="B274" s="16" t="s">
        <v>727</v>
      </c>
      <c r="C274" s="16">
        <v>200</v>
      </c>
      <c r="D27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4" s="16">
        <v>90</v>
      </c>
      <c r="F274" s="16" t="str">
        <f>IF(electric_vehicles_spec_2025_csv[[#This Row],[battery_capacity_kWh]]&lt;=30, "0–30 kWh", IF(electric_vehicles_spec_2025_csv[[#This Row],[battery_capacity_kWh]]&lt;=60, "31–60 kWh", "61+ kWh"))</f>
        <v>61+ kWh</v>
      </c>
      <c r="G274" s="16" t="s">
        <v>24</v>
      </c>
      <c r="H274" s="16">
        <v>96</v>
      </c>
      <c r="I274" s="16">
        <v>700</v>
      </c>
      <c r="J274" s="16">
        <v>167</v>
      </c>
      <c r="K274" s="16" t="str">
        <f t="shared" si="4"/>
        <v>161+ Wh/km</v>
      </c>
      <c r="L274" s="16">
        <v>500</v>
      </c>
      <c r="M274" s="16" t="str">
        <f>IF(electric_vehicles_spec_2025_csv[[#This Row],[range_km]]&lt;=200, "0–200 km",IF(electric_vehicles_spec_2025_csv[[#This Row],[range_km]]&lt;=400, "201–400 km", "401+ km"))</f>
        <v>401+ km</v>
      </c>
      <c r="N274" s="16">
        <v>4</v>
      </c>
      <c r="O274" s="16" t="str">
        <f>IF(electric_vehicles_spec_2025_csv[[#This Row],[acceleration_0_100_s]]&lt;4,"0–3.9 s",IF(electric_vehicles_spec_2025_csv[[#This Row],[acceleration_0_100_s]]&lt;6,"4.0–5.9 s",IF(electric_vehicles_spec_2025_csv[[#This Row],[acceleration_0_100_s]]&lt;8,"6.0–7.9 s","8.0+ s")))</f>
        <v>4.0–5.9 s</v>
      </c>
      <c r="P274" s="16">
        <v>100</v>
      </c>
      <c r="Q274" s="16" t="str">
        <f>IF(electric_vehicles_spec_2025_csv[[#This Row],[fast_charging_power_kw_dc]]&lt;50,"0–49 kW",IF(electric_vehicles_spec_2025_csv[[#This Row],[fast_charging_power_kw_dc]]&lt;100,"50–99 kW",IF(electric_vehicles_spec_2025_csv[[#This Row],[fast_charging_power_kw_dc]]&lt;150,"100–149 kW","150+ kW")))</f>
        <v>100–149 kW</v>
      </c>
      <c r="R274" s="16" t="s">
        <v>25</v>
      </c>
      <c r="S274" s="16">
        <v>1400</v>
      </c>
      <c r="T274" s="16" t="s">
        <v>728</v>
      </c>
      <c r="U274" s="16">
        <v>5</v>
      </c>
      <c r="V274" s="16" t="s">
        <v>70</v>
      </c>
      <c r="W274" s="16" t="s">
        <v>147</v>
      </c>
      <c r="X274" s="16">
        <v>4790</v>
      </c>
      <c r="Y274" s="16">
        <v>1960</v>
      </c>
      <c r="Z274" s="16">
        <v>1499</v>
      </c>
      <c r="AA274" s="16" t="s">
        <v>125</v>
      </c>
      <c r="AB274" s="16" t="s">
        <v>729</v>
      </c>
    </row>
    <row r="275" spans="1:28" x14ac:dyDescent="0.3">
      <c r="A275" s="16" t="s">
        <v>712</v>
      </c>
      <c r="B275" s="16" t="s">
        <v>730</v>
      </c>
      <c r="C275" s="16">
        <v>200</v>
      </c>
      <c r="D27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5" s="16">
        <v>73.5</v>
      </c>
      <c r="F275" s="16" t="str">
        <f>IF(electric_vehicles_spec_2025_csv[[#This Row],[battery_capacity_kWh]]&lt;=30, "0–30 kWh", IF(electric_vehicles_spec_2025_csv[[#This Row],[battery_capacity_kWh]]&lt;=60, "31–60 kWh", "61+ kWh"))</f>
        <v>61+ kWh</v>
      </c>
      <c r="G275" s="16" t="s">
        <v>24</v>
      </c>
      <c r="H275" s="16">
        <v>118</v>
      </c>
      <c r="I275" s="16">
        <v>700</v>
      </c>
      <c r="J275" s="16">
        <v>175</v>
      </c>
      <c r="K275" s="16" t="str">
        <f t="shared" si="4"/>
        <v>161+ Wh/km</v>
      </c>
      <c r="L275" s="16">
        <v>410</v>
      </c>
      <c r="M275" s="16" t="str">
        <f>IF(electric_vehicles_spec_2025_csv[[#This Row],[range_km]]&lt;=200, "0–200 km",IF(electric_vehicles_spec_2025_csv[[#This Row],[range_km]]&lt;=400, "201–400 km", "401+ km"))</f>
        <v>401+ km</v>
      </c>
      <c r="N275" s="16">
        <v>4</v>
      </c>
      <c r="O275" s="16" t="str">
        <f>IF(electric_vehicles_spec_2025_csv[[#This Row],[acceleration_0_100_s]]&lt;4,"0–3.9 s",IF(electric_vehicles_spec_2025_csv[[#This Row],[acceleration_0_100_s]]&lt;6,"4.0–5.9 s",IF(electric_vehicles_spec_2025_csv[[#This Row],[acceleration_0_100_s]]&lt;8,"6.0–7.9 s","8.0+ s")))</f>
        <v>4.0–5.9 s</v>
      </c>
      <c r="P275" s="16">
        <v>110</v>
      </c>
      <c r="Q275" s="16" t="str">
        <f>IF(electric_vehicles_spec_2025_csv[[#This Row],[fast_charging_power_kw_dc]]&lt;50,"0–49 kW",IF(electric_vehicles_spec_2025_csv[[#This Row],[fast_charging_power_kw_dc]]&lt;100,"50–99 kW",IF(electric_vehicles_spec_2025_csv[[#This Row],[fast_charging_power_kw_dc]]&lt;150,"100–149 kW","150+ kW")))</f>
        <v>100–149 kW</v>
      </c>
      <c r="R275" s="16" t="s">
        <v>25</v>
      </c>
      <c r="S275" s="16">
        <v>1400</v>
      </c>
      <c r="T275" s="16" t="s">
        <v>728</v>
      </c>
      <c r="U275" s="16">
        <v>5</v>
      </c>
      <c r="V275" s="16" t="s">
        <v>70</v>
      </c>
      <c r="W275" s="16" t="s">
        <v>147</v>
      </c>
      <c r="X275" s="16">
        <v>4790</v>
      </c>
      <c r="Y275" s="16">
        <v>1960</v>
      </c>
      <c r="Z275" s="16">
        <v>1499</v>
      </c>
      <c r="AA275" s="16" t="s">
        <v>125</v>
      </c>
      <c r="AB275" s="16" t="s">
        <v>731</v>
      </c>
    </row>
    <row r="276" spans="1:28" x14ac:dyDescent="0.3">
      <c r="A276" s="16" t="s">
        <v>712</v>
      </c>
      <c r="B276" s="16" t="s">
        <v>732</v>
      </c>
      <c r="C276" s="16">
        <v>200</v>
      </c>
      <c r="D27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6" s="16">
        <v>90</v>
      </c>
      <c r="F276" s="16" t="str">
        <f>IF(electric_vehicles_spec_2025_csv[[#This Row],[battery_capacity_kWh]]&lt;=30, "0–30 kWh", IF(electric_vehicles_spec_2025_csv[[#This Row],[battery_capacity_kWh]]&lt;=60, "31–60 kWh", "61+ kWh"))</f>
        <v>61+ kWh</v>
      </c>
      <c r="G276" s="16" t="s">
        <v>24</v>
      </c>
      <c r="H276" s="16">
        <v>96</v>
      </c>
      <c r="I276" s="16">
        <v>700</v>
      </c>
      <c r="J276" s="16">
        <v>178</v>
      </c>
      <c r="K276" s="16" t="str">
        <f t="shared" si="4"/>
        <v>161+ Wh/km</v>
      </c>
      <c r="L276" s="16">
        <v>485</v>
      </c>
      <c r="M276" s="16" t="str">
        <f>IF(electric_vehicles_spec_2025_csv[[#This Row],[range_km]]&lt;=200, "0–200 km",IF(electric_vehicles_spec_2025_csv[[#This Row],[range_km]]&lt;=400, "201–400 km", "401+ km"))</f>
        <v>401+ km</v>
      </c>
      <c r="N276" s="16">
        <v>4</v>
      </c>
      <c r="O276" s="16" t="str">
        <f>IF(electric_vehicles_spec_2025_csv[[#This Row],[acceleration_0_100_s]]&lt;4,"0–3.9 s",IF(electric_vehicles_spec_2025_csv[[#This Row],[acceleration_0_100_s]]&lt;6,"4.0–5.9 s",IF(electric_vehicles_spec_2025_csv[[#This Row],[acceleration_0_100_s]]&lt;8,"6.0–7.9 s","8.0+ s")))</f>
        <v>4.0–5.9 s</v>
      </c>
      <c r="P276" s="16">
        <v>135</v>
      </c>
      <c r="Q276" s="16" t="str">
        <f>IF(electric_vehicles_spec_2025_csv[[#This Row],[fast_charging_power_kw_dc]]&lt;50,"0–49 kW",IF(electric_vehicles_spec_2025_csv[[#This Row],[fast_charging_power_kw_dc]]&lt;100,"50–99 kW",IF(electric_vehicles_spec_2025_csv[[#This Row],[fast_charging_power_kw_dc]]&lt;150,"100–149 kW","150+ kW")))</f>
        <v>100–149 kW</v>
      </c>
      <c r="R276" s="16" t="s">
        <v>25</v>
      </c>
      <c r="S276" s="16">
        <v>1400</v>
      </c>
      <c r="T276" s="16" t="s">
        <v>733</v>
      </c>
      <c r="U276" s="16">
        <v>5</v>
      </c>
      <c r="V276" s="16" t="s">
        <v>70</v>
      </c>
      <c r="W276" s="16" t="s">
        <v>147</v>
      </c>
      <c r="X276" s="16">
        <v>4790</v>
      </c>
      <c r="Y276" s="16">
        <v>1960</v>
      </c>
      <c r="Z276" s="16">
        <v>1499</v>
      </c>
      <c r="AA276" s="16" t="s">
        <v>65</v>
      </c>
      <c r="AB276" s="16" t="s">
        <v>734</v>
      </c>
    </row>
    <row r="277" spans="1:28" x14ac:dyDescent="0.3">
      <c r="A277" s="16" t="s">
        <v>712</v>
      </c>
      <c r="B277" s="16" t="s">
        <v>735</v>
      </c>
      <c r="C277" s="16">
        <v>200</v>
      </c>
      <c r="D27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7" s="16">
        <v>73.5</v>
      </c>
      <c r="F277" s="16" t="str">
        <f>IF(electric_vehicles_spec_2025_csv[[#This Row],[battery_capacity_kWh]]&lt;=30, "0–30 kWh", IF(electric_vehicles_spec_2025_csv[[#This Row],[battery_capacity_kWh]]&lt;=60, "31–60 kWh", "61+ kWh"))</f>
        <v>61+ kWh</v>
      </c>
      <c r="G277" s="16" t="s">
        <v>24</v>
      </c>
      <c r="H277" s="16">
        <v>118</v>
      </c>
      <c r="I277" s="16">
        <v>700</v>
      </c>
      <c r="J277" s="16">
        <v>169</v>
      </c>
      <c r="K277" s="16" t="str">
        <f t="shared" si="4"/>
        <v>161+ Wh/km</v>
      </c>
      <c r="L277" s="16">
        <v>400</v>
      </c>
      <c r="M277" s="16" t="str">
        <f>IF(electric_vehicles_spec_2025_csv[[#This Row],[range_km]]&lt;=200, "0–200 km",IF(electric_vehicles_spec_2025_csv[[#This Row],[range_km]]&lt;=400, "201–400 km", "401+ km"))</f>
        <v>201–400 km</v>
      </c>
      <c r="N277" s="16">
        <v>4</v>
      </c>
      <c r="O277" s="16" t="str">
        <f>IF(electric_vehicles_spec_2025_csv[[#This Row],[acceleration_0_100_s]]&lt;4,"0–3.9 s",IF(electric_vehicles_spec_2025_csv[[#This Row],[acceleration_0_100_s]]&lt;6,"4.0–5.9 s",IF(electric_vehicles_spec_2025_csv[[#This Row],[acceleration_0_100_s]]&lt;8,"6.0–7.9 s","8.0+ s")))</f>
        <v>4.0–5.9 s</v>
      </c>
      <c r="P277" s="16">
        <v>110</v>
      </c>
      <c r="Q277" s="16" t="str">
        <f>IF(electric_vehicles_spec_2025_csv[[#This Row],[fast_charging_power_kw_dc]]&lt;50,"0–49 kW",IF(electric_vehicles_spec_2025_csv[[#This Row],[fast_charging_power_kw_dc]]&lt;100,"50–99 kW",IF(electric_vehicles_spec_2025_csv[[#This Row],[fast_charging_power_kw_dc]]&lt;150,"100–149 kW","150+ kW")))</f>
        <v>100–149 kW</v>
      </c>
      <c r="R277" s="16" t="s">
        <v>25</v>
      </c>
      <c r="S277" s="16">
        <v>1400</v>
      </c>
      <c r="T277" s="16" t="s">
        <v>733</v>
      </c>
      <c r="U277" s="16">
        <v>5</v>
      </c>
      <c r="V277" s="16" t="s">
        <v>70</v>
      </c>
      <c r="W277" s="16" t="s">
        <v>147</v>
      </c>
      <c r="X277" s="16">
        <v>4790</v>
      </c>
      <c r="Y277" s="16">
        <v>1960</v>
      </c>
      <c r="Z277" s="16">
        <v>1499</v>
      </c>
      <c r="AA277" s="16" t="s">
        <v>65</v>
      </c>
      <c r="AB277" s="16" t="s">
        <v>736</v>
      </c>
    </row>
    <row r="278" spans="1:28" x14ac:dyDescent="0.3">
      <c r="A278" s="16" t="s">
        <v>712</v>
      </c>
      <c r="B278" s="16" t="s">
        <v>737</v>
      </c>
      <c r="C278" s="16">
        <v>200</v>
      </c>
      <c r="D27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8" s="16">
        <v>90</v>
      </c>
      <c r="F278" s="16" t="str">
        <f>IF(electric_vehicles_spec_2025_csv[[#This Row],[battery_capacity_kWh]]&lt;=30, "0–30 kWh", IF(electric_vehicles_spec_2025_csv[[#This Row],[battery_capacity_kWh]]&lt;=60, "31–60 kWh", "61+ kWh"))</f>
        <v>61+ kWh</v>
      </c>
      <c r="G278" s="16" t="s">
        <v>24</v>
      </c>
      <c r="H278" s="16">
        <v>96</v>
      </c>
      <c r="I278" s="16">
        <v>850</v>
      </c>
      <c r="J278" s="16">
        <v>178</v>
      </c>
      <c r="K278" s="16" t="str">
        <f t="shared" si="4"/>
        <v>161+ Wh/km</v>
      </c>
      <c r="L278" s="16">
        <v>505</v>
      </c>
      <c r="M278" s="16" t="str">
        <f>IF(electric_vehicles_spec_2025_csv[[#This Row],[range_km]]&lt;=200, "0–200 km",IF(electric_vehicles_spec_2025_csv[[#This Row],[range_km]]&lt;=400, "201–400 km", "401+ km"))</f>
        <v>401+ km</v>
      </c>
      <c r="N278" s="16">
        <v>3.8</v>
      </c>
      <c r="O278" s="16" t="str">
        <f>IF(electric_vehicles_spec_2025_csv[[#This Row],[acceleration_0_100_s]]&lt;4,"0–3.9 s",IF(electric_vehicles_spec_2025_csv[[#This Row],[acceleration_0_100_s]]&lt;6,"4.0–5.9 s",IF(electric_vehicles_spec_2025_csv[[#This Row],[acceleration_0_100_s]]&lt;8,"6.0–7.9 s","8.0+ s")))</f>
        <v>0–3.9 s</v>
      </c>
      <c r="P278" s="16">
        <v>100</v>
      </c>
      <c r="Q278" s="16" t="str">
        <f>IF(electric_vehicles_spec_2025_csv[[#This Row],[fast_charging_power_kw_dc]]&lt;50,"0–49 kW",IF(electric_vehicles_spec_2025_csv[[#This Row],[fast_charging_power_kw_dc]]&lt;100,"50–99 kW",IF(electric_vehicles_spec_2025_csv[[#This Row],[fast_charging_power_kw_dc]]&lt;150,"100–149 kW","150+ kW")))</f>
        <v>100–149 kW</v>
      </c>
      <c r="R278" s="16" t="s">
        <v>25</v>
      </c>
      <c r="S278" s="16">
        <v>2000</v>
      </c>
      <c r="T278" s="16" t="s">
        <v>554</v>
      </c>
      <c r="U278" s="16">
        <v>5</v>
      </c>
      <c r="V278" s="16" t="s">
        <v>70</v>
      </c>
      <c r="W278" s="16" t="s">
        <v>124</v>
      </c>
      <c r="X278" s="16">
        <v>5101</v>
      </c>
      <c r="Y278" s="16">
        <v>1987</v>
      </c>
      <c r="Z278" s="16">
        <v>1509</v>
      </c>
      <c r="AA278" s="16" t="s">
        <v>125</v>
      </c>
      <c r="AB278" s="16" t="s">
        <v>738</v>
      </c>
    </row>
    <row r="279" spans="1:28" x14ac:dyDescent="0.3">
      <c r="A279" s="16" t="s">
        <v>712</v>
      </c>
      <c r="B279" s="16" t="s">
        <v>739</v>
      </c>
      <c r="C279" s="16">
        <v>200</v>
      </c>
      <c r="D27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79" s="16">
        <v>73.5</v>
      </c>
      <c r="F279" s="16" t="str">
        <f>IF(electric_vehicles_spec_2025_csv[[#This Row],[battery_capacity_kWh]]&lt;=30, "0–30 kWh", IF(electric_vehicles_spec_2025_csv[[#This Row],[battery_capacity_kWh]]&lt;=60, "31–60 kWh", "61+ kWh"))</f>
        <v>61+ kWh</v>
      </c>
      <c r="G279" s="16" t="s">
        <v>24</v>
      </c>
      <c r="H279" s="16">
        <v>118</v>
      </c>
      <c r="I279" s="16">
        <v>850</v>
      </c>
      <c r="J279" s="16">
        <v>191</v>
      </c>
      <c r="K279" s="16" t="str">
        <f t="shared" si="4"/>
        <v>161+ Wh/km</v>
      </c>
      <c r="L279" s="16">
        <v>415</v>
      </c>
      <c r="M279" s="16" t="str">
        <f>IF(electric_vehicles_spec_2025_csv[[#This Row],[range_km]]&lt;=200, "0–200 km",IF(electric_vehicles_spec_2025_csv[[#This Row],[range_km]]&lt;=400, "201–400 km", "401+ km"))</f>
        <v>401+ km</v>
      </c>
      <c r="N279" s="16">
        <v>3.8</v>
      </c>
      <c r="O279" s="16" t="str">
        <f>IF(electric_vehicles_spec_2025_csv[[#This Row],[acceleration_0_100_s]]&lt;4,"0–3.9 s",IF(electric_vehicles_spec_2025_csv[[#This Row],[acceleration_0_100_s]]&lt;6,"4.0–5.9 s",IF(electric_vehicles_spec_2025_csv[[#This Row],[acceleration_0_100_s]]&lt;8,"6.0–7.9 s","8.0+ s")))</f>
        <v>0–3.9 s</v>
      </c>
      <c r="P279" s="16">
        <v>110</v>
      </c>
      <c r="Q279" s="16" t="str">
        <f>IF(electric_vehicles_spec_2025_csv[[#This Row],[fast_charging_power_kw_dc]]&lt;50,"0–49 kW",IF(electric_vehicles_spec_2025_csv[[#This Row],[fast_charging_power_kw_dc]]&lt;100,"50–99 kW",IF(electric_vehicles_spec_2025_csv[[#This Row],[fast_charging_power_kw_dc]]&lt;150,"100–149 kW","150+ kW")))</f>
        <v>100–149 kW</v>
      </c>
      <c r="R279" s="16" t="s">
        <v>25</v>
      </c>
      <c r="S279" s="16">
        <v>2000</v>
      </c>
      <c r="T279" s="16" t="s">
        <v>554</v>
      </c>
      <c r="U279" s="16">
        <v>5</v>
      </c>
      <c r="V279" s="16" t="s">
        <v>70</v>
      </c>
      <c r="W279" s="16" t="s">
        <v>124</v>
      </c>
      <c r="X279" s="16">
        <v>5101</v>
      </c>
      <c r="Y279" s="16">
        <v>1987</v>
      </c>
      <c r="Z279" s="16">
        <v>1509</v>
      </c>
      <c r="AA279" s="16" t="s">
        <v>125</v>
      </c>
      <c r="AB279" s="16" t="s">
        <v>740</v>
      </c>
    </row>
    <row r="280" spans="1:28" x14ac:dyDescent="0.3">
      <c r="A280" s="16" t="s">
        <v>741</v>
      </c>
      <c r="B280" s="16" t="s">
        <v>742</v>
      </c>
      <c r="C280" s="16">
        <v>160</v>
      </c>
      <c r="D28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80" s="16">
        <v>63</v>
      </c>
      <c r="F280" s="16" t="str">
        <f>IF(electric_vehicles_spec_2025_csv[[#This Row],[battery_capacity_kWh]]&lt;=30, "0–30 kWh", IF(electric_vehicles_spec_2025_csv[[#This Row],[battery_capacity_kWh]]&lt;=60, "31–60 kWh", "61+ kWh"))</f>
        <v>61+ kWh</v>
      </c>
      <c r="G280" s="16" t="s">
        <v>24</v>
      </c>
      <c r="H280" s="16"/>
      <c r="I280" s="16">
        <v>300</v>
      </c>
      <c r="J280" s="16">
        <v>175</v>
      </c>
      <c r="K280" s="16" t="str">
        <f t="shared" si="4"/>
        <v>161+ Wh/km</v>
      </c>
      <c r="L280" s="16">
        <v>335</v>
      </c>
      <c r="M280" s="16" t="str">
        <f>IF(electric_vehicles_spec_2025_csv[[#This Row],[range_km]]&lt;=200, "0–200 km",IF(electric_vehicles_spec_2025_csv[[#This Row],[range_km]]&lt;=400, "201–400 km", "401+ km"))</f>
        <v>201–400 km</v>
      </c>
      <c r="N280" s="16">
        <v>7.5</v>
      </c>
      <c r="O280" s="16" t="str">
        <f>IF(electric_vehicles_spec_2025_csv[[#This Row],[acceleration_0_100_s]]&lt;4,"0–3.9 s",IF(electric_vehicles_spec_2025_csv[[#This Row],[acceleration_0_100_s]]&lt;6,"4.0–5.9 s",IF(electric_vehicles_spec_2025_csv[[#This Row],[acceleration_0_100_s]]&lt;8,"6.0–7.9 s","8.0+ s")))</f>
        <v>6.0–7.9 s</v>
      </c>
      <c r="P280" s="16">
        <v>90</v>
      </c>
      <c r="Q280" s="16" t="str">
        <f>IF(electric_vehicles_spec_2025_csv[[#This Row],[fast_charging_power_kw_dc]]&lt;50,"0–49 kW",IF(electric_vehicles_spec_2025_csv[[#This Row],[fast_charging_power_kw_dc]]&lt;100,"50–99 kW",IF(electric_vehicles_spec_2025_csv[[#This Row],[fast_charging_power_kw_dc]]&lt;150,"100–149 kW","150+ kW")))</f>
        <v>50–99 kW</v>
      </c>
      <c r="R280" s="16" t="s">
        <v>25</v>
      </c>
      <c r="S280" s="16">
        <v>750</v>
      </c>
      <c r="T280" s="16" t="s">
        <v>743</v>
      </c>
      <c r="U280" s="16">
        <v>5</v>
      </c>
      <c r="V280" s="16" t="s">
        <v>27</v>
      </c>
      <c r="W280" s="16" t="s">
        <v>43</v>
      </c>
      <c r="X280" s="16">
        <v>4595</v>
      </c>
      <c r="Y280" s="16">
        <v>1850</v>
      </c>
      <c r="Z280" s="16">
        <v>1660</v>
      </c>
      <c r="AA280" s="16" t="s">
        <v>36</v>
      </c>
      <c r="AB280" s="16" t="s">
        <v>744</v>
      </c>
    </row>
    <row r="281" spans="1:28" x14ac:dyDescent="0.3">
      <c r="A281" s="16" t="s">
        <v>741</v>
      </c>
      <c r="B281" s="16" t="s">
        <v>745</v>
      </c>
      <c r="C281" s="16">
        <v>160</v>
      </c>
      <c r="D28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81" s="16">
        <v>87</v>
      </c>
      <c r="F281" s="16" t="str">
        <f>IF(electric_vehicles_spec_2025_csv[[#This Row],[battery_capacity_kWh]]&lt;=30, "0–30 kWh", IF(electric_vehicles_spec_2025_csv[[#This Row],[battery_capacity_kWh]]&lt;=60, "31–60 kWh", "61+ kWh"))</f>
        <v>61+ kWh</v>
      </c>
      <c r="G281" s="16" t="s">
        <v>24</v>
      </c>
      <c r="H281" s="16"/>
      <c r="I281" s="16">
        <v>300</v>
      </c>
      <c r="J281" s="16">
        <v>169</v>
      </c>
      <c r="K281" s="16" t="str">
        <f t="shared" si="4"/>
        <v>161+ Wh/km</v>
      </c>
      <c r="L281" s="16">
        <v>450</v>
      </c>
      <c r="M281" s="16" t="str">
        <f>IF(electric_vehicles_spec_2025_csv[[#This Row],[range_km]]&lt;=200, "0–200 km",IF(electric_vehicles_spec_2025_csv[[#This Row],[range_km]]&lt;=400, "201–400 km", "401+ km"))</f>
        <v>401+ km</v>
      </c>
      <c r="N281" s="16">
        <v>7.6</v>
      </c>
      <c r="O281" s="16" t="str">
        <f>IF(electric_vehicles_spec_2025_csv[[#This Row],[acceleration_0_100_s]]&lt;4,"0–3.9 s",IF(electric_vehicles_spec_2025_csv[[#This Row],[acceleration_0_100_s]]&lt;6,"4.0–5.9 s",IF(electric_vehicles_spec_2025_csv[[#This Row],[acceleration_0_100_s]]&lt;8,"6.0–7.9 s","8.0+ s")))</f>
        <v>6.0–7.9 s</v>
      </c>
      <c r="P281" s="16">
        <v>110</v>
      </c>
      <c r="Q281" s="16" t="str">
        <f>IF(electric_vehicles_spec_2025_csv[[#This Row],[fast_charging_power_kw_dc]]&lt;50,"0–49 kW",IF(electric_vehicles_spec_2025_csv[[#This Row],[fast_charging_power_kw_dc]]&lt;100,"50–99 kW",IF(electric_vehicles_spec_2025_csv[[#This Row],[fast_charging_power_kw_dc]]&lt;150,"100–149 kW","150+ kW")))</f>
        <v>100–149 kW</v>
      </c>
      <c r="R281" s="16" t="s">
        <v>25</v>
      </c>
      <c r="S281" s="16">
        <v>750</v>
      </c>
      <c r="T281" s="16" t="s">
        <v>743</v>
      </c>
      <c r="U281" s="16">
        <v>5</v>
      </c>
      <c r="V281" s="16" t="s">
        <v>27</v>
      </c>
      <c r="W281" s="16" t="s">
        <v>43</v>
      </c>
      <c r="X281" s="16">
        <v>4595</v>
      </c>
      <c r="Y281" s="16">
        <v>1850</v>
      </c>
      <c r="Z281" s="16">
        <v>1660</v>
      </c>
      <c r="AA281" s="16" t="s">
        <v>36</v>
      </c>
      <c r="AB281" s="16" t="s">
        <v>746</v>
      </c>
    </row>
    <row r="282" spans="1:28" x14ac:dyDescent="0.3">
      <c r="A282" s="16" t="s">
        <v>741</v>
      </c>
      <c r="B282" s="16" t="s">
        <v>747</v>
      </c>
      <c r="C282" s="16">
        <v>200</v>
      </c>
      <c r="D28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82" s="16">
        <v>87</v>
      </c>
      <c r="F282" s="16" t="str">
        <f>IF(electric_vehicles_spec_2025_csv[[#This Row],[battery_capacity_kWh]]&lt;=30, "0–30 kWh", IF(electric_vehicles_spec_2025_csv[[#This Row],[battery_capacity_kWh]]&lt;=60, "31–60 kWh", "61+ kWh"))</f>
        <v>61+ kWh</v>
      </c>
      <c r="G282" s="16" t="s">
        <v>24</v>
      </c>
      <c r="H282" s="16"/>
      <c r="I282" s="16">
        <v>600</v>
      </c>
      <c r="J282" s="16">
        <v>190</v>
      </c>
      <c r="K282" s="16" t="str">
        <f t="shared" si="4"/>
        <v>161+ Wh/km</v>
      </c>
      <c r="L282" s="16">
        <v>405</v>
      </c>
      <c r="M282" s="16" t="str">
        <f>IF(electric_vehicles_spec_2025_csv[[#This Row],[range_km]]&lt;=200, "0–200 km",IF(electric_vehicles_spec_2025_csv[[#This Row],[range_km]]&lt;=400, "201–400 km", "401+ km"))</f>
        <v>401+ km</v>
      </c>
      <c r="N282" s="16">
        <v>5.7</v>
      </c>
      <c r="O282" s="16" t="str">
        <f>IF(electric_vehicles_spec_2025_csv[[#This Row],[acceleration_0_100_s]]&lt;4,"0–3.9 s",IF(electric_vehicles_spec_2025_csv[[#This Row],[acceleration_0_100_s]]&lt;6,"4.0–5.9 s",IF(electric_vehicles_spec_2025_csv[[#This Row],[acceleration_0_100_s]]&lt;8,"6.0–7.9 s","8.0+ s")))</f>
        <v>4.0–5.9 s</v>
      </c>
      <c r="P282" s="16">
        <v>110</v>
      </c>
      <c r="Q282" s="16" t="str">
        <f>IF(electric_vehicles_spec_2025_csv[[#This Row],[fast_charging_power_kw_dc]]&lt;50,"0–49 kW",IF(electric_vehicles_spec_2025_csv[[#This Row],[fast_charging_power_kw_dc]]&lt;100,"50–99 kW",IF(electric_vehicles_spec_2025_csv[[#This Row],[fast_charging_power_kw_dc]]&lt;150,"100–149 kW","150+ kW")))</f>
        <v>100–149 kW</v>
      </c>
      <c r="R282" s="16" t="s">
        <v>25</v>
      </c>
      <c r="S282" s="16">
        <v>1500</v>
      </c>
      <c r="T282" s="16" t="s">
        <v>748</v>
      </c>
      <c r="U282" s="16">
        <v>5</v>
      </c>
      <c r="V282" s="16" t="s">
        <v>70</v>
      </c>
      <c r="W282" s="16" t="s">
        <v>43</v>
      </c>
      <c r="X282" s="16">
        <v>4595</v>
      </c>
      <c r="Y282" s="16">
        <v>1850</v>
      </c>
      <c r="Z282" s="16">
        <v>1660</v>
      </c>
      <c r="AA282" s="16" t="s">
        <v>36</v>
      </c>
      <c r="AB282" s="16" t="s">
        <v>749</v>
      </c>
    </row>
    <row r="283" spans="1:28" x14ac:dyDescent="0.3">
      <c r="A283" s="16" t="s">
        <v>741</v>
      </c>
      <c r="B283" s="16" t="s">
        <v>750</v>
      </c>
      <c r="C283" s="16">
        <v>200</v>
      </c>
      <c r="D28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283" s="16">
        <v>87</v>
      </c>
      <c r="F283" s="16" t="str">
        <f>IF(electric_vehicles_spec_2025_csv[[#This Row],[battery_capacity_kWh]]&lt;=30, "0–30 kWh", IF(electric_vehicles_spec_2025_csv[[#This Row],[battery_capacity_kWh]]&lt;=60, "31–60 kWh", "61+ kWh"))</f>
        <v>61+ kWh</v>
      </c>
      <c r="G283" s="16" t="s">
        <v>24</v>
      </c>
      <c r="H283" s="16"/>
      <c r="I283" s="16">
        <v>600</v>
      </c>
      <c r="J283" s="16">
        <v>209</v>
      </c>
      <c r="K283" s="16" t="str">
        <f t="shared" si="4"/>
        <v>161+ Wh/km</v>
      </c>
      <c r="L283" s="16">
        <v>385</v>
      </c>
      <c r="M283" s="16" t="str">
        <f>IF(electric_vehicles_spec_2025_csv[[#This Row],[range_km]]&lt;=200, "0–200 km",IF(electric_vehicles_spec_2025_csv[[#This Row],[range_km]]&lt;=400, "201–400 km", "401+ km"))</f>
        <v>201–400 km</v>
      </c>
      <c r="N283" s="16">
        <v>5</v>
      </c>
      <c r="O283" s="16" t="str">
        <f>IF(electric_vehicles_spec_2025_csv[[#This Row],[acceleration_0_100_s]]&lt;4,"0–3.9 s",IF(electric_vehicles_spec_2025_csv[[#This Row],[acceleration_0_100_s]]&lt;6,"4.0–5.9 s",IF(electric_vehicles_spec_2025_csv[[#This Row],[acceleration_0_100_s]]&lt;8,"6.0–7.9 s","8.0+ s")))</f>
        <v>4.0–5.9 s</v>
      </c>
      <c r="P283" s="16">
        <v>110</v>
      </c>
      <c r="Q283" s="16" t="str">
        <f>IF(electric_vehicles_spec_2025_csv[[#This Row],[fast_charging_power_kw_dc]]&lt;50,"0–49 kW",IF(electric_vehicles_spec_2025_csv[[#This Row],[fast_charging_power_kw_dc]]&lt;100,"50–99 kW",IF(electric_vehicles_spec_2025_csv[[#This Row],[fast_charging_power_kw_dc]]&lt;150,"100–149 kW","150+ kW")))</f>
        <v>100–149 kW</v>
      </c>
      <c r="R283" s="16" t="s">
        <v>25</v>
      </c>
      <c r="S283" s="16"/>
      <c r="T283" s="16" t="s">
        <v>748</v>
      </c>
      <c r="U283" s="16">
        <v>5</v>
      </c>
      <c r="V283" s="16" t="s">
        <v>70</v>
      </c>
      <c r="W283" s="16" t="s">
        <v>43</v>
      </c>
      <c r="X283" s="16">
        <v>4655</v>
      </c>
      <c r="Y283" s="16">
        <v>1850</v>
      </c>
      <c r="Z283" s="16">
        <v>1660</v>
      </c>
      <c r="AA283" s="16" t="s">
        <v>36</v>
      </c>
      <c r="AB283" s="16" t="s">
        <v>751</v>
      </c>
    </row>
    <row r="284" spans="1:28" x14ac:dyDescent="0.3">
      <c r="A284" s="16" t="s">
        <v>741</v>
      </c>
      <c r="B284" s="16" t="s">
        <v>752</v>
      </c>
      <c r="C284" s="16">
        <v>132</v>
      </c>
      <c r="D28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84" s="16">
        <v>45</v>
      </c>
      <c r="F284" s="16" t="str">
        <f>IF(electric_vehicles_spec_2025_csv[[#This Row],[battery_capacity_kWh]]&lt;=30, "0–30 kWh", IF(electric_vehicles_spec_2025_csv[[#This Row],[battery_capacity_kWh]]&lt;=60, "31–60 kWh", "61+ kWh"))</f>
        <v>31–60 kWh</v>
      </c>
      <c r="G284" s="16" t="s">
        <v>24</v>
      </c>
      <c r="H284" s="16"/>
      <c r="I284" s="16">
        <v>245</v>
      </c>
      <c r="J284" s="16">
        <v>158</v>
      </c>
      <c r="K284" s="16" t="str">
        <f t="shared" si="4"/>
        <v>131–160 Wh/km</v>
      </c>
      <c r="L284" s="16">
        <v>225</v>
      </c>
      <c r="M284" s="16" t="str">
        <f>IF(electric_vehicles_spec_2025_csv[[#This Row],[range_km]]&lt;=200, "0–200 km",IF(electric_vehicles_spec_2025_csv[[#This Row],[range_km]]&lt;=400, "201–400 km", "401+ km"))</f>
        <v>201–400 km</v>
      </c>
      <c r="N284" s="16">
        <v>12.6</v>
      </c>
      <c r="O284" s="16" t="str">
        <f>IF(electric_vehicles_spec_2025_csv[[#This Row],[acceleration_0_100_s]]&lt;4,"0–3.9 s",IF(electric_vehicles_spec_2025_csv[[#This Row],[acceleration_0_100_s]]&lt;6,"4.0–5.9 s",IF(electric_vehicles_spec_2025_csv[[#This Row],[acceleration_0_100_s]]&lt;8,"6.0–7.9 s","8.0+ s")))</f>
        <v>8.0+ s</v>
      </c>
      <c r="P284" s="16">
        <v>50</v>
      </c>
      <c r="Q284" s="16" t="str">
        <f>IF(electric_vehicles_spec_2025_csv[[#This Row],[fast_charging_power_kw_dc]]&lt;50,"0–49 kW",IF(electric_vehicles_spec_2025_csv[[#This Row],[fast_charging_power_kw_dc]]&lt;100,"50–99 kW",IF(electric_vehicles_spec_2025_csv[[#This Row],[fast_charging_power_kw_dc]]&lt;150,"100–149 kW","150+ kW")))</f>
        <v>50–99 kW</v>
      </c>
      <c r="R284" s="16" t="s">
        <v>25</v>
      </c>
      <c r="S284" s="16">
        <v>1500</v>
      </c>
      <c r="T284" s="16" t="s">
        <v>753</v>
      </c>
      <c r="U284" s="16">
        <v>5</v>
      </c>
      <c r="V284" s="16" t="s">
        <v>27</v>
      </c>
      <c r="W284" s="16" t="s">
        <v>244</v>
      </c>
      <c r="X284" s="16">
        <v>4488</v>
      </c>
      <c r="Y284" s="16">
        <v>1860</v>
      </c>
      <c r="Z284" s="16">
        <v>1838</v>
      </c>
      <c r="AA284" s="16" t="s">
        <v>245</v>
      </c>
      <c r="AB284" s="16" t="s">
        <v>754</v>
      </c>
    </row>
    <row r="285" spans="1:28" x14ac:dyDescent="0.3">
      <c r="A285" s="16" t="s">
        <v>741</v>
      </c>
      <c r="B285" s="16" t="s">
        <v>755</v>
      </c>
      <c r="C285" s="16">
        <v>130</v>
      </c>
      <c r="D28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85" s="16">
        <v>45</v>
      </c>
      <c r="F285" s="16" t="str">
        <f>IF(electric_vehicles_spec_2025_csv[[#This Row],[battery_capacity_kWh]]&lt;=30, "0–30 kWh", IF(electric_vehicles_spec_2025_csv[[#This Row],[battery_capacity_kWh]]&lt;=60, "31–60 kWh", "61+ kWh"))</f>
        <v>31–60 kWh</v>
      </c>
      <c r="G285" s="16" t="s">
        <v>24</v>
      </c>
      <c r="H285" s="16"/>
      <c r="I285" s="16">
        <v>245</v>
      </c>
      <c r="J285" s="16">
        <v>173</v>
      </c>
      <c r="K285" s="16" t="str">
        <f t="shared" si="4"/>
        <v>161+ Wh/km</v>
      </c>
      <c r="L285" s="16">
        <v>220</v>
      </c>
      <c r="M285" s="16" t="str">
        <f>IF(electric_vehicles_spec_2025_csv[[#This Row],[range_km]]&lt;=200, "0–200 km",IF(electric_vehicles_spec_2025_csv[[#This Row],[range_km]]&lt;=400, "201–400 km", "401+ km"))</f>
        <v>201–400 km</v>
      </c>
      <c r="N285" s="16">
        <v>13.3</v>
      </c>
      <c r="O285" s="16" t="str">
        <f>IF(electric_vehicles_spec_2025_csv[[#This Row],[acceleration_0_100_s]]&lt;4,"0–3.9 s",IF(electric_vehicles_spec_2025_csv[[#This Row],[acceleration_0_100_s]]&lt;6,"4.0–5.9 s",IF(electric_vehicles_spec_2025_csv[[#This Row],[acceleration_0_100_s]]&lt;8,"6.0–7.9 s","8.0+ s")))</f>
        <v>8.0+ s</v>
      </c>
      <c r="P285" s="16">
        <v>50</v>
      </c>
      <c r="Q285" s="16" t="str">
        <f>IF(electric_vehicles_spec_2025_csv[[#This Row],[fast_charging_power_kw_dc]]&lt;50,"0–49 kW",IF(electric_vehicles_spec_2025_csv[[#This Row],[fast_charging_power_kw_dc]]&lt;100,"50–99 kW",IF(electric_vehicles_spec_2025_csv[[#This Row],[fast_charging_power_kw_dc]]&lt;150,"100–149 kW","150+ kW")))</f>
        <v>50–99 kW</v>
      </c>
      <c r="R285" s="16" t="s">
        <v>25</v>
      </c>
      <c r="S285" s="16">
        <v>1500</v>
      </c>
      <c r="T285" s="16" t="s">
        <v>753</v>
      </c>
      <c r="U285" s="16">
        <v>7</v>
      </c>
      <c r="V285" s="16" t="s">
        <v>27</v>
      </c>
      <c r="W285" s="16" t="s">
        <v>244</v>
      </c>
      <c r="X285" s="16">
        <v>4911</v>
      </c>
      <c r="Y285" s="16">
        <v>1860</v>
      </c>
      <c r="Z285" s="16">
        <v>1815</v>
      </c>
      <c r="AA285" s="16" t="s">
        <v>245</v>
      </c>
      <c r="AB285" s="16" t="s">
        <v>756</v>
      </c>
    </row>
    <row r="286" spans="1:28" x14ac:dyDescent="0.3">
      <c r="A286" s="16" t="s">
        <v>757</v>
      </c>
      <c r="B286" s="16" t="s">
        <v>758</v>
      </c>
      <c r="C286" s="16">
        <v>172</v>
      </c>
      <c r="D28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86" s="16">
        <v>61</v>
      </c>
      <c r="F286" s="16" t="str">
        <f>IF(electric_vehicles_spec_2025_csv[[#This Row],[battery_capacity_kWh]]&lt;=30, "0–30 kWh", IF(electric_vehicles_spec_2025_csv[[#This Row],[battery_capacity_kWh]]&lt;=60, "31–60 kWh", "61+ kWh"))</f>
        <v>61+ kWh</v>
      </c>
      <c r="G286" s="16" t="s">
        <v>24</v>
      </c>
      <c r="H286" s="16"/>
      <c r="I286" s="16">
        <v>340</v>
      </c>
      <c r="J286" s="16">
        <v>152</v>
      </c>
      <c r="K286" s="16" t="str">
        <f t="shared" si="4"/>
        <v>131–160 Wh/km</v>
      </c>
      <c r="L286" s="16">
        <v>345</v>
      </c>
      <c r="M286" s="16" t="str">
        <f>IF(electric_vehicles_spec_2025_csv[[#This Row],[range_km]]&lt;=200, "0–200 km",IF(electric_vehicles_spec_2025_csv[[#This Row],[range_km]]&lt;=400, "201–400 km", "401+ km"))</f>
        <v>201–400 km</v>
      </c>
      <c r="N286" s="16">
        <v>7.6</v>
      </c>
      <c r="O286" s="16" t="str">
        <f>IF(electric_vehicles_spec_2025_csv[[#This Row],[acceleration_0_100_s]]&lt;4,"0–3.9 s",IF(electric_vehicles_spec_2025_csv[[#This Row],[acceleration_0_100_s]]&lt;6,"4.0–5.9 s",IF(electric_vehicles_spec_2025_csv[[#This Row],[acceleration_0_100_s]]&lt;8,"6.0–7.9 s","8.0+ s")))</f>
        <v>6.0–7.9 s</v>
      </c>
      <c r="P286" s="16">
        <v>60</v>
      </c>
      <c r="Q286" s="16" t="str">
        <f>IF(electric_vehicles_spec_2025_csv[[#This Row],[fast_charging_power_kw_dc]]&lt;50,"0–49 kW",IF(electric_vehicles_spec_2025_csv[[#This Row],[fast_charging_power_kw_dc]]&lt;100,"50–99 kW",IF(electric_vehicles_spec_2025_csv[[#This Row],[fast_charging_power_kw_dc]]&lt;150,"100–149 kW","150+ kW")))</f>
        <v>50–99 kW</v>
      </c>
      <c r="R286" s="16" t="s">
        <v>25</v>
      </c>
      <c r="S286" s="16"/>
      <c r="T286" s="16" t="s">
        <v>257</v>
      </c>
      <c r="U286" s="16">
        <v>5</v>
      </c>
      <c r="V286" s="16" t="s">
        <v>27</v>
      </c>
      <c r="W286" s="16" t="s">
        <v>43</v>
      </c>
      <c r="X286" s="16">
        <v>4424</v>
      </c>
      <c r="Y286" s="16">
        <v>1830</v>
      </c>
      <c r="Z286" s="16">
        <v>1588</v>
      </c>
      <c r="AA286" s="16" t="s">
        <v>36</v>
      </c>
      <c r="AB286" s="16" t="s">
        <v>759</v>
      </c>
    </row>
    <row r="287" spans="1:28" x14ac:dyDescent="0.3">
      <c r="A287" s="16" t="s">
        <v>760</v>
      </c>
      <c r="B287" s="16" t="s">
        <v>761</v>
      </c>
      <c r="C287" s="16">
        <v>170</v>
      </c>
      <c r="D28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87" s="16">
        <v>50.8</v>
      </c>
      <c r="F287" s="16" t="str">
        <f>IF(electric_vehicles_spec_2025_csv[[#This Row],[battery_capacity_kWh]]&lt;=30, "0–30 kWh", IF(electric_vehicles_spec_2025_csv[[#This Row],[battery_capacity_kWh]]&lt;=60, "31–60 kWh", "61+ kWh"))</f>
        <v>31–60 kWh</v>
      </c>
      <c r="G287" s="16" t="s">
        <v>24</v>
      </c>
      <c r="H287" s="16">
        <v>102</v>
      </c>
      <c r="I287" s="16">
        <v>270</v>
      </c>
      <c r="J287" s="16">
        <v>128</v>
      </c>
      <c r="K287" s="16" t="str">
        <f t="shared" si="4"/>
        <v>0–130 Wh/km</v>
      </c>
      <c r="L287" s="16">
        <v>320</v>
      </c>
      <c r="M287" s="16" t="str">
        <f>IF(electric_vehicles_spec_2025_csv[[#This Row],[range_km]]&lt;=200, "0–200 km",IF(electric_vehicles_spec_2025_csv[[#This Row],[range_km]]&lt;=400, "201–400 km", "401+ km"))</f>
        <v>201–400 km</v>
      </c>
      <c r="N287" s="16">
        <v>9.1999999999999993</v>
      </c>
      <c r="O287" s="16" t="str">
        <f>IF(electric_vehicles_spec_2025_csv[[#This Row],[acceleration_0_100_s]]&lt;4,"0–3.9 s",IF(electric_vehicles_spec_2025_csv[[#This Row],[acceleration_0_100_s]]&lt;6,"4.0–5.9 s",IF(electric_vehicles_spec_2025_csv[[#This Row],[acceleration_0_100_s]]&lt;8,"6.0–7.9 s","8.0+ s")))</f>
        <v>8.0+ s</v>
      </c>
      <c r="P287" s="16">
        <v>85</v>
      </c>
      <c r="Q287" s="16" t="str">
        <f>IF(electric_vehicles_spec_2025_csv[[#This Row],[fast_charging_power_kw_dc]]&lt;50,"0–49 kW",IF(electric_vehicles_spec_2025_csv[[#This Row],[fast_charging_power_kw_dc]]&lt;100,"50–99 kW",IF(electric_vehicles_spec_2025_csv[[#This Row],[fast_charging_power_kw_dc]]&lt;150,"100–149 kW","150+ kW")))</f>
        <v>50–99 kW</v>
      </c>
      <c r="R287" s="16" t="s">
        <v>25</v>
      </c>
      <c r="S287" s="16">
        <v>0</v>
      </c>
      <c r="T287" s="16" t="s">
        <v>762</v>
      </c>
      <c r="U287" s="16">
        <v>5</v>
      </c>
      <c r="V287" s="16" t="s">
        <v>27</v>
      </c>
      <c r="W287" s="16" t="s">
        <v>190</v>
      </c>
      <c r="X287" s="16">
        <v>4374</v>
      </c>
      <c r="Y287" s="16">
        <v>1860</v>
      </c>
      <c r="Z287" s="16">
        <v>1470</v>
      </c>
      <c r="AA287" s="16" t="s">
        <v>29</v>
      </c>
      <c r="AB287" s="16" t="s">
        <v>763</v>
      </c>
    </row>
    <row r="288" spans="1:28" x14ac:dyDescent="0.3">
      <c r="A288" s="16" t="s">
        <v>760</v>
      </c>
      <c r="B288" s="16" t="s">
        <v>764</v>
      </c>
      <c r="C288" s="16">
        <v>170</v>
      </c>
      <c r="D28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88" s="16">
        <v>50.8</v>
      </c>
      <c r="F288" s="16" t="str">
        <f>IF(electric_vehicles_spec_2025_csv[[#This Row],[battery_capacity_kWh]]&lt;=30, "0–30 kWh", IF(electric_vehicles_spec_2025_csv[[#This Row],[battery_capacity_kWh]]&lt;=60, "31–60 kWh", "61+ kWh"))</f>
        <v>31–60 kWh</v>
      </c>
      <c r="G288" s="16" t="s">
        <v>24</v>
      </c>
      <c r="H288" s="16">
        <v>102</v>
      </c>
      <c r="I288" s="16">
        <v>270</v>
      </c>
      <c r="J288" s="16">
        <v>123</v>
      </c>
      <c r="K288" s="16" t="str">
        <f t="shared" si="4"/>
        <v>0–130 Wh/km</v>
      </c>
      <c r="L288" s="16">
        <v>310</v>
      </c>
      <c r="M288" s="16" t="str">
        <f>IF(electric_vehicles_spec_2025_csv[[#This Row],[range_km]]&lt;=200, "0–200 km",IF(electric_vehicles_spec_2025_csv[[#This Row],[range_km]]&lt;=400, "201–400 km", "401+ km"))</f>
        <v>201–400 km</v>
      </c>
      <c r="N288" s="16">
        <v>9.3000000000000007</v>
      </c>
      <c r="O288" s="16" t="str">
        <f>IF(electric_vehicles_spec_2025_csv[[#This Row],[acceleration_0_100_s]]&lt;4,"0–3.9 s",IF(electric_vehicles_spec_2025_csv[[#This Row],[acceleration_0_100_s]]&lt;6,"4.0–5.9 s",IF(electric_vehicles_spec_2025_csv[[#This Row],[acceleration_0_100_s]]&lt;8,"6.0–7.9 s","8.0+ s")))</f>
        <v>8.0+ s</v>
      </c>
      <c r="P288" s="16">
        <v>85</v>
      </c>
      <c r="Q288" s="16" t="str">
        <f>IF(electric_vehicles_spec_2025_csv[[#This Row],[fast_charging_power_kw_dc]]&lt;50,"0–49 kW",IF(electric_vehicles_spec_2025_csv[[#This Row],[fast_charging_power_kw_dc]]&lt;100,"50–99 kW",IF(electric_vehicles_spec_2025_csv[[#This Row],[fast_charging_power_kw_dc]]&lt;150,"100–149 kW","150+ kW")))</f>
        <v>50–99 kW</v>
      </c>
      <c r="R288" s="16" t="s">
        <v>25</v>
      </c>
      <c r="S288" s="16">
        <v>0</v>
      </c>
      <c r="T288" s="16" t="s">
        <v>765</v>
      </c>
      <c r="U288" s="16">
        <v>5</v>
      </c>
      <c r="V288" s="16" t="s">
        <v>27</v>
      </c>
      <c r="W288" s="16" t="s">
        <v>190</v>
      </c>
      <c r="X288" s="16">
        <v>4642</v>
      </c>
      <c r="Y288" s="16">
        <v>1860</v>
      </c>
      <c r="Z288" s="16">
        <v>1480</v>
      </c>
      <c r="AA288" s="16" t="s">
        <v>65</v>
      </c>
      <c r="AB288" s="16" t="s">
        <v>766</v>
      </c>
    </row>
    <row r="289" spans="1:28" x14ac:dyDescent="0.3">
      <c r="A289" s="16" t="s">
        <v>760</v>
      </c>
      <c r="B289" s="16" t="s">
        <v>767</v>
      </c>
      <c r="C289" s="16">
        <v>135</v>
      </c>
      <c r="D28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89" s="16">
        <v>50</v>
      </c>
      <c r="F289" s="16" t="str">
        <f>IF(electric_vehicles_spec_2025_csv[[#This Row],[battery_capacity_kWh]]&lt;=30, "0–30 kWh", IF(electric_vehicles_spec_2025_csv[[#This Row],[battery_capacity_kWh]]&lt;=60, "31–60 kWh", "61+ kWh"))</f>
        <v>31–60 kWh</v>
      </c>
      <c r="G289" s="16" t="s">
        <v>24</v>
      </c>
      <c r="H289" s="16"/>
      <c r="I289" s="16">
        <v>260</v>
      </c>
      <c r="J289" s="16">
        <v>149</v>
      </c>
      <c r="K289" s="16" t="str">
        <f t="shared" si="4"/>
        <v>131–160 Wh/km</v>
      </c>
      <c r="L289" s="16">
        <v>235</v>
      </c>
      <c r="M289" s="16" t="str">
        <f>IF(electric_vehicles_spec_2025_csv[[#This Row],[range_km]]&lt;=200, "0–200 km",IF(electric_vehicles_spec_2025_csv[[#This Row],[range_km]]&lt;=400, "201–400 km", "401+ km"))</f>
        <v>201–400 km</v>
      </c>
      <c r="N289" s="16">
        <v>11.3</v>
      </c>
      <c r="O289" s="16" t="str">
        <f>IF(electric_vehicles_spec_2025_csv[[#This Row],[acceleration_0_100_s]]&lt;4,"0–3.9 s",IF(electric_vehicles_spec_2025_csv[[#This Row],[acceleration_0_100_s]]&lt;6,"4.0–5.9 s",IF(electric_vehicles_spec_2025_csv[[#This Row],[acceleration_0_100_s]]&lt;8,"6.0–7.9 s","8.0+ s")))</f>
        <v>8.0+ s</v>
      </c>
      <c r="P289" s="16">
        <v>80</v>
      </c>
      <c r="Q289" s="16" t="str">
        <f>IF(electric_vehicles_spec_2025_csv[[#This Row],[fast_charging_power_kw_dc]]&lt;50,"0–49 kW",IF(electric_vehicles_spec_2025_csv[[#This Row],[fast_charging_power_kw_dc]]&lt;100,"50–99 kW",IF(electric_vehicles_spec_2025_csv[[#This Row],[fast_charging_power_kw_dc]]&lt;150,"100–149 kW","150+ kW")))</f>
        <v>50–99 kW</v>
      </c>
      <c r="R289" s="16" t="s">
        <v>25</v>
      </c>
      <c r="S289" s="16">
        <v>750</v>
      </c>
      <c r="T289" s="16" t="s">
        <v>243</v>
      </c>
      <c r="U289" s="16">
        <v>5</v>
      </c>
      <c r="V289" s="16" t="s">
        <v>27</v>
      </c>
      <c r="W289" s="16" t="s">
        <v>244</v>
      </c>
      <c r="X289" s="16">
        <v>4410</v>
      </c>
      <c r="Y289" s="16">
        <v>1921</v>
      </c>
      <c r="Z289" s="16">
        <v>1812</v>
      </c>
      <c r="AA289" s="16" t="s">
        <v>245</v>
      </c>
      <c r="AB289" s="16" t="s">
        <v>768</v>
      </c>
    </row>
    <row r="290" spans="1:28" x14ac:dyDescent="0.3">
      <c r="A290" s="16" t="s">
        <v>760</v>
      </c>
      <c r="B290" s="16" t="s">
        <v>769</v>
      </c>
      <c r="C290" s="16">
        <v>135</v>
      </c>
      <c r="D29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90" s="16">
        <v>50</v>
      </c>
      <c r="F290" s="16" t="str">
        <f>IF(electric_vehicles_spec_2025_csv[[#This Row],[battery_capacity_kWh]]&lt;=30, "0–30 kWh", IF(electric_vehicles_spec_2025_csv[[#This Row],[battery_capacity_kWh]]&lt;=60, "31–60 kWh", "61+ kWh"))</f>
        <v>31–60 kWh</v>
      </c>
      <c r="G290" s="16" t="s">
        <v>24</v>
      </c>
      <c r="H290" s="16"/>
      <c r="I290" s="16">
        <v>260</v>
      </c>
      <c r="J290" s="16">
        <v>149</v>
      </c>
      <c r="K290" s="16" t="str">
        <f t="shared" si="4"/>
        <v>131–160 Wh/km</v>
      </c>
      <c r="L290" s="16">
        <v>230</v>
      </c>
      <c r="M290" s="16" t="str">
        <f>IF(electric_vehicles_spec_2025_csv[[#This Row],[range_km]]&lt;=200, "0–200 km",IF(electric_vehicles_spec_2025_csv[[#This Row],[range_km]]&lt;=400, "201–400 km", "401+ km"))</f>
        <v>201–400 km</v>
      </c>
      <c r="N290" s="16">
        <v>11.3</v>
      </c>
      <c r="O290" s="16" t="str">
        <f>IF(electric_vehicles_spec_2025_csv[[#This Row],[acceleration_0_100_s]]&lt;4,"0–3.9 s",IF(electric_vehicles_spec_2025_csv[[#This Row],[acceleration_0_100_s]]&lt;6,"4.0–5.9 s",IF(electric_vehicles_spec_2025_csv[[#This Row],[acceleration_0_100_s]]&lt;8,"6.0–7.9 s","8.0+ s")))</f>
        <v>8.0+ s</v>
      </c>
      <c r="P290" s="16">
        <v>80</v>
      </c>
      <c r="Q290" s="16" t="str">
        <f>IF(electric_vehicles_spec_2025_csv[[#This Row],[fast_charging_power_kw_dc]]&lt;50,"0–49 kW",IF(electric_vehicles_spec_2025_csv[[#This Row],[fast_charging_power_kw_dc]]&lt;100,"50–99 kW",IF(electric_vehicles_spec_2025_csv[[#This Row],[fast_charging_power_kw_dc]]&lt;150,"100–149 kW","150+ kW")))</f>
        <v>50–99 kW</v>
      </c>
      <c r="R290" s="16" t="s">
        <v>25</v>
      </c>
      <c r="S290" s="16">
        <v>750</v>
      </c>
      <c r="T290" s="16" t="s">
        <v>248</v>
      </c>
      <c r="U290" s="16">
        <v>7</v>
      </c>
      <c r="V290" s="16" t="s">
        <v>27</v>
      </c>
      <c r="W290" s="16" t="s">
        <v>244</v>
      </c>
      <c r="X290" s="16">
        <v>4760</v>
      </c>
      <c r="Y290" s="16">
        <v>1921</v>
      </c>
      <c r="Z290" s="16">
        <v>1818</v>
      </c>
      <c r="AA290" s="16" t="s">
        <v>245</v>
      </c>
      <c r="AB290" s="16" t="s">
        <v>770</v>
      </c>
    </row>
    <row r="291" spans="1:28" x14ac:dyDescent="0.3">
      <c r="A291" s="16" t="s">
        <v>760</v>
      </c>
      <c r="B291" s="16" t="s">
        <v>771</v>
      </c>
      <c r="C291" s="16">
        <v>150</v>
      </c>
      <c r="D29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91" s="16">
        <v>46.3</v>
      </c>
      <c r="F291" s="16" t="str">
        <f>IF(electric_vehicles_spec_2025_csv[[#This Row],[battery_capacity_kWh]]&lt;=30, "0–30 kWh", IF(electric_vehicles_spec_2025_csv[[#This Row],[battery_capacity_kWh]]&lt;=60, "31–60 kWh", "61+ kWh"))</f>
        <v>31–60 kWh</v>
      </c>
      <c r="G291" s="16" t="s">
        <v>24</v>
      </c>
      <c r="H291" s="16">
        <v>216</v>
      </c>
      <c r="I291" s="16">
        <v>260</v>
      </c>
      <c r="J291" s="16">
        <v>131</v>
      </c>
      <c r="K291" s="16" t="str">
        <f t="shared" si="4"/>
        <v>131–160 Wh/km</v>
      </c>
      <c r="L291" s="16">
        <v>290</v>
      </c>
      <c r="M291" s="16" t="str">
        <f>IF(electric_vehicles_spec_2025_csv[[#This Row],[range_km]]&lt;=200, "0–200 km",IF(electric_vehicles_spec_2025_csv[[#This Row],[range_km]]&lt;=400, "201–400 km", "401+ km"))</f>
        <v>201–400 km</v>
      </c>
      <c r="N291" s="16">
        <v>8.6999999999999993</v>
      </c>
      <c r="O291" s="16" t="str">
        <f>IF(electric_vehicles_spec_2025_csv[[#This Row],[acceleration_0_100_s]]&lt;4,"0–3.9 s",IF(electric_vehicles_spec_2025_csv[[#This Row],[acceleration_0_100_s]]&lt;6,"4.0–5.9 s",IF(electric_vehicles_spec_2025_csv[[#This Row],[acceleration_0_100_s]]&lt;8,"6.0–7.9 s","8.0+ s")))</f>
        <v>8.0+ s</v>
      </c>
      <c r="P291" s="16">
        <v>78</v>
      </c>
      <c r="Q291" s="16" t="str">
        <f>IF(electric_vehicles_spec_2025_csv[[#This Row],[fast_charging_power_kw_dc]]&lt;50,"0–49 kW",IF(electric_vehicles_spec_2025_csv[[#This Row],[fast_charging_power_kw_dc]]&lt;100,"50–99 kW",IF(electric_vehicles_spec_2025_csv[[#This Row],[fast_charging_power_kw_dc]]&lt;150,"100–149 kW","150+ kW")))</f>
        <v>50–99 kW</v>
      </c>
      <c r="R291" s="16" t="s">
        <v>25</v>
      </c>
      <c r="S291" s="16">
        <v>0</v>
      </c>
      <c r="T291" s="16" t="s">
        <v>772</v>
      </c>
      <c r="U291" s="16">
        <v>5</v>
      </c>
      <c r="V291" s="16" t="s">
        <v>27</v>
      </c>
      <c r="W291" s="16" t="s">
        <v>28</v>
      </c>
      <c r="X291" s="16">
        <v>4061</v>
      </c>
      <c r="Y291" s="16">
        <v>1765</v>
      </c>
      <c r="Z291" s="16">
        <v>1435</v>
      </c>
      <c r="AA291" s="16" t="s">
        <v>29</v>
      </c>
      <c r="AB291" s="16" t="s">
        <v>773</v>
      </c>
    </row>
    <row r="292" spans="1:28" x14ac:dyDescent="0.3">
      <c r="A292" s="16" t="s">
        <v>760</v>
      </c>
      <c r="B292" s="16" t="s">
        <v>774</v>
      </c>
      <c r="C292" s="16">
        <v>150</v>
      </c>
      <c r="D29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92" s="16">
        <v>48.1</v>
      </c>
      <c r="F292" s="16" t="str">
        <f>IF(electric_vehicles_spec_2025_csv[[#This Row],[battery_capacity_kWh]]&lt;=30, "0–30 kWh", IF(electric_vehicles_spec_2025_csv[[#This Row],[battery_capacity_kWh]]&lt;=60, "31–60 kWh", "61+ kWh"))</f>
        <v>31–60 kWh</v>
      </c>
      <c r="G292" s="16" t="s">
        <v>24</v>
      </c>
      <c r="H292" s="16">
        <v>96</v>
      </c>
      <c r="I292" s="16">
        <v>260</v>
      </c>
      <c r="J292" s="16">
        <v>120</v>
      </c>
      <c r="K292" s="16" t="str">
        <f t="shared" si="4"/>
        <v>0–130 Wh/km</v>
      </c>
      <c r="L292" s="16">
        <v>315</v>
      </c>
      <c r="M292" s="16" t="str">
        <f>IF(electric_vehicles_spec_2025_csv[[#This Row],[range_km]]&lt;=200, "0–200 km",IF(electric_vehicles_spec_2025_csv[[#This Row],[range_km]]&lt;=400, "201–400 km", "401+ km"))</f>
        <v>201–400 km</v>
      </c>
      <c r="N292" s="16">
        <v>8.1</v>
      </c>
      <c r="O292" s="16" t="str">
        <f>IF(electric_vehicles_spec_2025_csv[[#This Row],[acceleration_0_100_s]]&lt;4,"0–3.9 s",IF(electric_vehicles_spec_2025_csv[[#This Row],[acceleration_0_100_s]]&lt;6,"4.0–5.9 s",IF(electric_vehicles_spec_2025_csv[[#This Row],[acceleration_0_100_s]]&lt;8,"6.0–7.9 s","8.0+ s")))</f>
        <v>8.0+ s</v>
      </c>
      <c r="P292" s="16">
        <v>80</v>
      </c>
      <c r="Q292" s="16" t="str">
        <f>IF(electric_vehicles_spec_2025_csv[[#This Row],[fast_charging_power_kw_dc]]&lt;50,"0–49 kW",IF(electric_vehicles_spec_2025_csv[[#This Row],[fast_charging_power_kw_dc]]&lt;100,"50–99 kW",IF(electric_vehicles_spec_2025_csv[[#This Row],[fast_charging_power_kw_dc]]&lt;150,"100–149 kW","150+ kW")))</f>
        <v>50–99 kW</v>
      </c>
      <c r="R292" s="16" t="s">
        <v>25</v>
      </c>
      <c r="S292" s="16">
        <v>0</v>
      </c>
      <c r="T292" s="16" t="s">
        <v>772</v>
      </c>
      <c r="U292" s="16">
        <v>5</v>
      </c>
      <c r="V292" s="16" t="s">
        <v>27</v>
      </c>
      <c r="W292" s="16" t="s">
        <v>28</v>
      </c>
      <c r="X292" s="16">
        <v>4061</v>
      </c>
      <c r="Y292" s="16">
        <v>1765</v>
      </c>
      <c r="Z292" s="16">
        <v>1435</v>
      </c>
      <c r="AA292" s="16" t="s">
        <v>29</v>
      </c>
      <c r="AB292" s="16" t="s">
        <v>775</v>
      </c>
    </row>
    <row r="293" spans="1:28" x14ac:dyDescent="0.3">
      <c r="A293" s="16" t="s">
        <v>760</v>
      </c>
      <c r="B293" s="16" t="s">
        <v>776</v>
      </c>
      <c r="C293" s="16">
        <v>140</v>
      </c>
      <c r="D29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93" s="16">
        <v>44</v>
      </c>
      <c r="F293" s="16" t="str">
        <f>IF(electric_vehicles_spec_2025_csv[[#This Row],[battery_capacity_kWh]]&lt;=30, "0–30 kWh", IF(electric_vehicles_spec_2025_csv[[#This Row],[battery_capacity_kWh]]&lt;=60, "31–60 kWh", "61+ kWh"))</f>
        <v>31–60 kWh</v>
      </c>
      <c r="G293" s="16" t="s">
        <v>24</v>
      </c>
      <c r="H293" s="16"/>
      <c r="I293" s="16">
        <v>120</v>
      </c>
      <c r="J293" s="16">
        <v>144</v>
      </c>
      <c r="K293" s="16" t="str">
        <f t="shared" si="4"/>
        <v>131–160 Wh/km</v>
      </c>
      <c r="L293" s="16">
        <v>245</v>
      </c>
      <c r="M293" s="16" t="str">
        <f>IF(electric_vehicles_spec_2025_csv[[#This Row],[range_km]]&lt;=200, "0–200 km",IF(electric_vehicles_spec_2025_csv[[#This Row],[range_km]]&lt;=400, "201–400 km", "401+ km"))</f>
        <v>201–400 km</v>
      </c>
      <c r="N293" s="16">
        <v>12.1</v>
      </c>
      <c r="O293" s="16" t="str">
        <f>IF(electric_vehicles_spec_2025_csv[[#This Row],[acceleration_0_100_s]]&lt;4,"0–3.9 s",IF(electric_vehicles_spec_2025_csv[[#This Row],[acceleration_0_100_s]]&lt;6,"4.0–5.9 s",IF(electric_vehicles_spec_2025_csv[[#This Row],[acceleration_0_100_s]]&lt;8,"6.0–7.9 s","8.0+ s")))</f>
        <v>8.0+ s</v>
      </c>
      <c r="P293" s="16">
        <v>60</v>
      </c>
      <c r="Q293" s="16" t="str">
        <f>IF(electric_vehicles_spec_2025_csv[[#This Row],[fast_charging_power_kw_dc]]&lt;50,"0–49 kW",IF(electric_vehicles_spec_2025_csv[[#This Row],[fast_charging_power_kw_dc]]&lt;100,"50–99 kW",IF(electric_vehicles_spec_2025_csv[[#This Row],[fast_charging_power_kw_dc]]&lt;150,"100–149 kW","150+ kW")))</f>
        <v>50–99 kW</v>
      </c>
      <c r="R293" s="16" t="s">
        <v>25</v>
      </c>
      <c r="S293" s="16">
        <v>350</v>
      </c>
      <c r="T293" s="16" t="s">
        <v>254</v>
      </c>
      <c r="U293" s="16">
        <v>5</v>
      </c>
      <c r="V293" s="16" t="s">
        <v>27</v>
      </c>
      <c r="W293" s="16" t="s">
        <v>35</v>
      </c>
      <c r="X293" s="16">
        <v>4385</v>
      </c>
      <c r="Y293" s="16">
        <v>1795</v>
      </c>
      <c r="Z293" s="16">
        <v>1635</v>
      </c>
      <c r="AA293" s="16" t="s">
        <v>36</v>
      </c>
      <c r="AB293" s="16" t="s">
        <v>777</v>
      </c>
    </row>
    <row r="294" spans="1:28" x14ac:dyDescent="0.3">
      <c r="A294" s="16" t="s">
        <v>760</v>
      </c>
      <c r="B294" s="16" t="s">
        <v>778</v>
      </c>
      <c r="C294" s="16">
        <v>170</v>
      </c>
      <c r="D29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94" s="16">
        <v>73</v>
      </c>
      <c r="F294" s="16" t="str">
        <f>IF(electric_vehicles_spec_2025_csv[[#This Row],[battery_capacity_kWh]]&lt;=30, "0–30 kWh", IF(electric_vehicles_spec_2025_csv[[#This Row],[battery_capacity_kWh]]&lt;=60, "31–60 kWh", "61+ kWh"))</f>
        <v>61+ kWh</v>
      </c>
      <c r="G294" s="16" t="s">
        <v>24</v>
      </c>
      <c r="H294" s="16">
        <v>96</v>
      </c>
      <c r="I294" s="16">
        <v>260</v>
      </c>
      <c r="J294" s="16">
        <v>145</v>
      </c>
      <c r="K294" s="16" t="str">
        <f t="shared" si="4"/>
        <v>131–160 Wh/km</v>
      </c>
      <c r="L294" s="16">
        <v>365</v>
      </c>
      <c r="M294" s="16" t="str">
        <f>IF(electric_vehicles_spec_2025_csv[[#This Row],[range_km]]&lt;=200, "0–200 km",IF(electric_vehicles_spec_2025_csv[[#This Row],[range_km]]&lt;=400, "201–400 km", "401+ km"))</f>
        <v>201–400 km</v>
      </c>
      <c r="N294" s="16">
        <v>9</v>
      </c>
      <c r="O294" s="16" t="str">
        <f>IF(electric_vehicles_spec_2025_csv[[#This Row],[acceleration_0_100_s]]&lt;4,"0–3.9 s",IF(electric_vehicles_spec_2025_csv[[#This Row],[acceleration_0_100_s]]&lt;6,"4.0–5.9 s",IF(electric_vehicles_spec_2025_csv[[#This Row],[acceleration_0_100_s]]&lt;8,"6.0–7.9 s","8.0+ s")))</f>
        <v>8.0+ s</v>
      </c>
      <c r="P294" s="16">
        <v>90</v>
      </c>
      <c r="Q294" s="16" t="str">
        <f>IF(electric_vehicles_spec_2025_csv[[#This Row],[fast_charging_power_kw_dc]]&lt;50,"0–49 kW",IF(electric_vehicles_spec_2025_csv[[#This Row],[fast_charging_power_kw_dc]]&lt;100,"50–99 kW",IF(electric_vehicles_spec_2025_csv[[#This Row],[fast_charging_power_kw_dc]]&lt;150,"100–149 kW","150+ kW")))</f>
        <v>50–99 kW</v>
      </c>
      <c r="R294" s="16" t="s">
        <v>25</v>
      </c>
      <c r="S294" s="16">
        <v>1200</v>
      </c>
      <c r="T294" s="16" t="s">
        <v>458</v>
      </c>
      <c r="U294" s="16">
        <v>5</v>
      </c>
      <c r="V294" s="16" t="s">
        <v>27</v>
      </c>
      <c r="W294" s="16" t="s">
        <v>43</v>
      </c>
      <c r="X294" s="16">
        <v>4650</v>
      </c>
      <c r="Y294" s="16">
        <v>1934</v>
      </c>
      <c r="Z294" s="16">
        <v>1665</v>
      </c>
      <c r="AA294" s="16" t="s">
        <v>36</v>
      </c>
      <c r="AB294" s="16" t="s">
        <v>779</v>
      </c>
    </row>
    <row r="295" spans="1:28" x14ac:dyDescent="0.3">
      <c r="A295" s="16" t="s">
        <v>760</v>
      </c>
      <c r="B295" s="16" t="s">
        <v>780</v>
      </c>
      <c r="C295" s="16">
        <v>170</v>
      </c>
      <c r="D29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95" s="16">
        <v>82.2</v>
      </c>
      <c r="F295" s="16" t="str">
        <f>IF(electric_vehicles_spec_2025_csv[[#This Row],[battery_capacity_kWh]]&lt;=30, "0–30 kWh", IF(electric_vehicles_spec_2025_csv[[#This Row],[battery_capacity_kWh]]&lt;=60, "31–60 kWh", "61+ kWh"))</f>
        <v>61+ kWh</v>
      </c>
      <c r="G295" s="16" t="s">
        <v>24</v>
      </c>
      <c r="H295" s="16"/>
      <c r="I295" s="16">
        <v>260</v>
      </c>
      <c r="J295" s="16">
        <v>146</v>
      </c>
      <c r="K295" s="16" t="str">
        <f t="shared" si="4"/>
        <v>131–160 Wh/km</v>
      </c>
      <c r="L295" s="16">
        <v>410</v>
      </c>
      <c r="M295" s="16" t="str">
        <f>IF(electric_vehicles_spec_2025_csv[[#This Row],[range_km]]&lt;=200, "0–200 km",IF(electric_vehicles_spec_2025_csv[[#This Row],[range_km]]&lt;=400, "201–400 km", "401+ km"))</f>
        <v>401+ km</v>
      </c>
      <c r="N295" s="16">
        <v>9</v>
      </c>
      <c r="O295" s="16" t="str">
        <f>IF(electric_vehicles_spec_2025_csv[[#This Row],[acceleration_0_100_s]]&lt;4,"0–3.9 s",IF(electric_vehicles_spec_2025_csv[[#This Row],[acceleration_0_100_s]]&lt;6,"4.0–5.9 s",IF(electric_vehicles_spec_2025_csv[[#This Row],[acceleration_0_100_s]]&lt;8,"6.0–7.9 s","8.0+ s")))</f>
        <v>8.0+ s</v>
      </c>
      <c r="P295" s="16">
        <v>100</v>
      </c>
      <c r="Q295" s="16" t="str">
        <f>IF(electric_vehicles_spec_2025_csv[[#This Row],[fast_charging_power_kw_dc]]&lt;50,"0–49 kW",IF(electric_vehicles_spec_2025_csv[[#This Row],[fast_charging_power_kw_dc]]&lt;100,"50–99 kW",IF(electric_vehicles_spec_2025_csv[[#This Row],[fast_charging_power_kw_dc]]&lt;150,"100–149 kW","150+ kW")))</f>
        <v>100–149 kW</v>
      </c>
      <c r="R295" s="16" t="s">
        <v>25</v>
      </c>
      <c r="S295" s="16">
        <v>1200</v>
      </c>
      <c r="T295" s="16" t="s">
        <v>458</v>
      </c>
      <c r="U295" s="16">
        <v>5</v>
      </c>
      <c r="V295" s="16" t="s">
        <v>27</v>
      </c>
      <c r="W295" s="16" t="s">
        <v>43</v>
      </c>
      <c r="X295" s="16">
        <v>4650</v>
      </c>
      <c r="Y295" s="16">
        <v>1934</v>
      </c>
      <c r="Z295" s="16">
        <v>1665</v>
      </c>
      <c r="AA295" s="16" t="s">
        <v>36</v>
      </c>
      <c r="AB295" s="16" t="s">
        <v>781</v>
      </c>
    </row>
    <row r="296" spans="1:28" x14ac:dyDescent="0.3">
      <c r="A296" s="16" t="s">
        <v>760</v>
      </c>
      <c r="B296" s="16" t="s">
        <v>782</v>
      </c>
      <c r="C296" s="16">
        <v>150</v>
      </c>
      <c r="D29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296" s="16">
        <v>50.8</v>
      </c>
      <c r="F296" s="16" t="str">
        <f>IF(electric_vehicles_spec_2025_csv[[#This Row],[battery_capacity_kWh]]&lt;=30, "0–30 kWh", IF(electric_vehicles_spec_2025_csv[[#This Row],[battery_capacity_kWh]]&lt;=60, "31–60 kWh", "61+ kWh"))</f>
        <v>31–60 kWh</v>
      </c>
      <c r="G296" s="16" t="s">
        <v>24</v>
      </c>
      <c r="H296" s="16">
        <v>102</v>
      </c>
      <c r="I296" s="16">
        <v>260</v>
      </c>
      <c r="J296" s="16">
        <v>126</v>
      </c>
      <c r="K296" s="16" t="str">
        <f t="shared" si="4"/>
        <v>0–130 Wh/km</v>
      </c>
      <c r="L296" s="16">
        <v>285</v>
      </c>
      <c r="M296" s="16" t="str">
        <f>IF(electric_vehicles_spec_2025_csv[[#This Row],[range_km]]&lt;=200, "0–200 km",IF(electric_vehicles_spec_2025_csv[[#This Row],[range_km]]&lt;=400, "201–400 km", "401+ km"))</f>
        <v>201–400 km</v>
      </c>
      <c r="N296" s="16">
        <v>9</v>
      </c>
      <c r="O296" s="16" t="str">
        <f>IF(electric_vehicles_spec_2025_csv[[#This Row],[acceleration_0_100_s]]&lt;4,"0–3.9 s",IF(electric_vehicles_spec_2025_csv[[#This Row],[acceleration_0_100_s]]&lt;6,"4.0–5.9 s",IF(electric_vehicles_spec_2025_csv[[#This Row],[acceleration_0_100_s]]&lt;8,"6.0–7.9 s","8.0+ s")))</f>
        <v>8.0+ s</v>
      </c>
      <c r="P296" s="16">
        <v>85</v>
      </c>
      <c r="Q296" s="16" t="str">
        <f>IF(electric_vehicles_spec_2025_csv[[#This Row],[fast_charging_power_kw_dc]]&lt;50,"0–49 kW",IF(electric_vehicles_spec_2025_csv[[#This Row],[fast_charging_power_kw_dc]]&lt;100,"50–99 kW",IF(electric_vehicles_spec_2025_csv[[#This Row],[fast_charging_power_kw_dc]]&lt;150,"100–149 kW","150+ kW")))</f>
        <v>50–99 kW</v>
      </c>
      <c r="R296" s="16" t="s">
        <v>25</v>
      </c>
      <c r="S296" s="16">
        <v>0</v>
      </c>
      <c r="T296" s="16" t="s">
        <v>251</v>
      </c>
      <c r="U296" s="16">
        <v>5</v>
      </c>
      <c r="V296" s="16" t="s">
        <v>27</v>
      </c>
      <c r="W296" s="16" t="s">
        <v>35</v>
      </c>
      <c r="X296" s="16">
        <v>4151</v>
      </c>
      <c r="Y296" s="16">
        <v>1790</v>
      </c>
      <c r="Z296" s="16">
        <v>1534</v>
      </c>
      <c r="AA296" s="16" t="s">
        <v>36</v>
      </c>
      <c r="AB296" s="16" t="s">
        <v>783</v>
      </c>
    </row>
    <row r="297" spans="1:28" x14ac:dyDescent="0.3">
      <c r="A297" s="16" t="s">
        <v>760</v>
      </c>
      <c r="B297" s="16" t="s">
        <v>784</v>
      </c>
      <c r="C297" s="16">
        <v>130</v>
      </c>
      <c r="D29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97" s="16">
        <v>46.3</v>
      </c>
      <c r="F297" s="16" t="str">
        <f>IF(electric_vehicles_spec_2025_csv[[#This Row],[battery_capacity_kWh]]&lt;=30, "0–30 kWh", IF(electric_vehicles_spec_2025_csv[[#This Row],[battery_capacity_kWh]]&lt;=60, "31–60 kWh", "61+ kWh"))</f>
        <v>31–60 kWh</v>
      </c>
      <c r="G297" s="16" t="s">
        <v>24</v>
      </c>
      <c r="H297" s="16">
        <v>216</v>
      </c>
      <c r="I297" s="16">
        <v>270</v>
      </c>
      <c r="J297" s="16">
        <v>217</v>
      </c>
      <c r="K297" s="16" t="str">
        <f t="shared" si="4"/>
        <v>161+ Wh/km</v>
      </c>
      <c r="L297" s="16">
        <v>180</v>
      </c>
      <c r="M297" s="16" t="str">
        <f>IF(electric_vehicles_spec_2025_csv[[#This Row],[range_km]]&lt;=200, "0–200 km",IF(electric_vehicles_spec_2025_csv[[#This Row],[range_km]]&lt;=400, "201–400 km", "401+ km"))</f>
        <v>0–200 km</v>
      </c>
      <c r="N297" s="16">
        <v>13.3</v>
      </c>
      <c r="O297" s="16" t="str">
        <f>IF(electric_vehicles_spec_2025_csv[[#This Row],[acceleration_0_100_s]]&lt;4,"0–3.9 s",IF(electric_vehicles_spec_2025_csv[[#This Row],[acceleration_0_100_s]]&lt;6,"4.0–5.9 s",IF(electric_vehicles_spec_2025_csv[[#This Row],[acceleration_0_100_s]]&lt;8,"6.0–7.9 s","8.0+ s")))</f>
        <v>8.0+ s</v>
      </c>
      <c r="P297" s="16">
        <v>78</v>
      </c>
      <c r="Q297" s="16" t="str">
        <f>IF(electric_vehicles_spec_2025_csv[[#This Row],[fast_charging_power_kw_dc]]&lt;50,"0–49 kW",IF(electric_vehicles_spec_2025_csv[[#This Row],[fast_charging_power_kw_dc]]&lt;100,"50–99 kW",IF(electric_vehicles_spec_2025_csv[[#This Row],[fast_charging_power_kw_dc]]&lt;150,"100–149 kW","150+ kW")))</f>
        <v>50–99 kW</v>
      </c>
      <c r="R297" s="16" t="s">
        <v>25</v>
      </c>
      <c r="S297" s="16">
        <v>1000</v>
      </c>
      <c r="T297" s="16" t="s">
        <v>267</v>
      </c>
      <c r="U297" s="16">
        <v>9</v>
      </c>
      <c r="V297" s="16" t="s">
        <v>27</v>
      </c>
      <c r="W297" s="16" t="s">
        <v>244</v>
      </c>
      <c r="X297" s="16">
        <v>4983</v>
      </c>
      <c r="Y297" s="16">
        <v>1920</v>
      </c>
      <c r="Z297" s="16">
        <v>1890</v>
      </c>
      <c r="AA297" s="16" t="s">
        <v>245</v>
      </c>
      <c r="AB297" s="16" t="s">
        <v>785</v>
      </c>
    </row>
    <row r="298" spans="1:28" x14ac:dyDescent="0.3">
      <c r="A298" s="16" t="s">
        <v>760</v>
      </c>
      <c r="B298" s="16" t="s">
        <v>786</v>
      </c>
      <c r="C298" s="16">
        <v>130</v>
      </c>
      <c r="D29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98" s="16">
        <v>68</v>
      </c>
      <c r="F298" s="16" t="str">
        <f>IF(electric_vehicles_spec_2025_csv[[#This Row],[battery_capacity_kWh]]&lt;=30, "0–30 kWh", IF(electric_vehicles_spec_2025_csv[[#This Row],[battery_capacity_kWh]]&lt;=60, "31–60 kWh", "61+ kWh"))</f>
        <v>61+ kWh</v>
      </c>
      <c r="G298" s="16" t="s">
        <v>24</v>
      </c>
      <c r="H298" s="16">
        <v>324</v>
      </c>
      <c r="I298" s="16">
        <v>270</v>
      </c>
      <c r="J298" s="16">
        <v>202</v>
      </c>
      <c r="K298" s="16" t="str">
        <f t="shared" si="4"/>
        <v>161+ Wh/km</v>
      </c>
      <c r="L298" s="16">
        <v>260</v>
      </c>
      <c r="M298" s="16" t="str">
        <f>IF(electric_vehicles_spec_2025_csv[[#This Row],[range_km]]&lt;=200, "0–200 km",IF(electric_vehicles_spec_2025_csv[[#This Row],[range_km]]&lt;=400, "201–400 km", "401+ km"))</f>
        <v>201–400 km</v>
      </c>
      <c r="N298" s="16">
        <v>14.2</v>
      </c>
      <c r="O298" s="16" t="str">
        <f>IF(electric_vehicles_spec_2025_csv[[#This Row],[acceleration_0_100_s]]&lt;4,"0–3.9 s",IF(electric_vehicles_spec_2025_csv[[#This Row],[acceleration_0_100_s]]&lt;6,"4.0–5.9 s",IF(electric_vehicles_spec_2025_csv[[#This Row],[acceleration_0_100_s]]&lt;8,"6.0–7.9 s","8.0+ s")))</f>
        <v>8.0+ s</v>
      </c>
      <c r="P298" s="16">
        <v>79</v>
      </c>
      <c r="Q298" s="16" t="str">
        <f>IF(electric_vehicles_spec_2025_csv[[#This Row],[fast_charging_power_kw_dc]]&lt;50,"0–49 kW",IF(electric_vehicles_spec_2025_csv[[#This Row],[fast_charging_power_kw_dc]]&lt;100,"50–99 kW",IF(electric_vehicles_spec_2025_csv[[#This Row],[fast_charging_power_kw_dc]]&lt;150,"100–149 kW","150+ kW")))</f>
        <v>50–99 kW</v>
      </c>
      <c r="R298" s="16" t="s">
        <v>25</v>
      </c>
      <c r="S298" s="16">
        <v>1000</v>
      </c>
      <c r="T298" s="16" t="s">
        <v>267</v>
      </c>
      <c r="U298" s="16">
        <v>9</v>
      </c>
      <c r="V298" s="16" t="s">
        <v>27</v>
      </c>
      <c r="W298" s="16" t="s">
        <v>244</v>
      </c>
      <c r="X298" s="16">
        <v>4983</v>
      </c>
      <c r="Y298" s="16">
        <v>1920</v>
      </c>
      <c r="Z298" s="16">
        <v>1890</v>
      </c>
      <c r="AA298" s="16" t="s">
        <v>245</v>
      </c>
      <c r="AB298" s="16" t="s">
        <v>787</v>
      </c>
    </row>
    <row r="299" spans="1:28" x14ac:dyDescent="0.3">
      <c r="A299" s="16" t="s">
        <v>760</v>
      </c>
      <c r="B299" s="16" t="s">
        <v>788</v>
      </c>
      <c r="C299" s="16">
        <v>130</v>
      </c>
      <c r="D29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299" s="16">
        <v>46.3</v>
      </c>
      <c r="F299" s="16" t="str">
        <f>IF(electric_vehicles_spec_2025_csv[[#This Row],[battery_capacity_kWh]]&lt;=30, "0–30 kWh", IF(electric_vehicles_spec_2025_csv[[#This Row],[battery_capacity_kWh]]&lt;=60, "31–60 kWh", "61+ kWh"))</f>
        <v>31–60 kWh</v>
      </c>
      <c r="G299" s="16" t="s">
        <v>24</v>
      </c>
      <c r="H299" s="16">
        <v>216</v>
      </c>
      <c r="I299" s="16">
        <v>270</v>
      </c>
      <c r="J299" s="16">
        <v>219</v>
      </c>
      <c r="K299" s="16" t="str">
        <f t="shared" si="4"/>
        <v>161+ Wh/km</v>
      </c>
      <c r="L299" s="16">
        <v>180</v>
      </c>
      <c r="M299" s="16" t="str">
        <f>IF(electric_vehicles_spec_2025_csv[[#This Row],[range_km]]&lt;=200, "0–200 km",IF(electric_vehicles_spec_2025_csv[[#This Row],[range_km]]&lt;=400, "201–400 km", "401+ km"))</f>
        <v>0–200 km</v>
      </c>
      <c r="N299" s="16">
        <v>13.3</v>
      </c>
      <c r="O299" s="16" t="str">
        <f>IF(electric_vehicles_spec_2025_csv[[#This Row],[acceleration_0_100_s]]&lt;4,"0–3.9 s",IF(electric_vehicles_spec_2025_csv[[#This Row],[acceleration_0_100_s]]&lt;6,"4.0–5.9 s",IF(electric_vehicles_spec_2025_csv[[#This Row],[acceleration_0_100_s]]&lt;8,"6.0–7.9 s","8.0+ s")))</f>
        <v>8.0+ s</v>
      </c>
      <c r="P299" s="16">
        <v>78</v>
      </c>
      <c r="Q299" s="16" t="str">
        <f>IF(electric_vehicles_spec_2025_csv[[#This Row],[fast_charging_power_kw_dc]]&lt;50,"0–49 kW",IF(electric_vehicles_spec_2025_csv[[#This Row],[fast_charging_power_kw_dc]]&lt;100,"50–99 kW",IF(electric_vehicles_spec_2025_csv[[#This Row],[fast_charging_power_kw_dc]]&lt;150,"100–149 kW","150+ kW")))</f>
        <v>50–99 kW</v>
      </c>
      <c r="R299" s="16" t="s">
        <v>25</v>
      </c>
      <c r="S299" s="16">
        <v>1000</v>
      </c>
      <c r="T299" s="16" t="s">
        <v>272</v>
      </c>
      <c r="U299" s="16">
        <v>9</v>
      </c>
      <c r="V299" s="16" t="s">
        <v>27</v>
      </c>
      <c r="W299" s="16" t="s">
        <v>244</v>
      </c>
      <c r="X299" s="16">
        <v>5333</v>
      </c>
      <c r="Y299" s="16">
        <v>1920</v>
      </c>
      <c r="Z299" s="16">
        <v>1890</v>
      </c>
      <c r="AA299" s="16" t="s">
        <v>245</v>
      </c>
      <c r="AB299" s="16" t="s">
        <v>789</v>
      </c>
    </row>
    <row r="300" spans="1:28" x14ac:dyDescent="0.3">
      <c r="A300" s="16" t="s">
        <v>760</v>
      </c>
      <c r="B300" s="16" t="s">
        <v>790</v>
      </c>
      <c r="C300" s="16">
        <v>130</v>
      </c>
      <c r="D30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00" s="16">
        <v>68</v>
      </c>
      <c r="F300" s="16" t="str">
        <f>IF(electric_vehicles_spec_2025_csv[[#This Row],[battery_capacity_kWh]]&lt;=30, "0–30 kWh", IF(electric_vehicles_spec_2025_csv[[#This Row],[battery_capacity_kWh]]&lt;=60, "31–60 kWh", "61+ kWh"))</f>
        <v>61+ kWh</v>
      </c>
      <c r="G300" s="16" t="s">
        <v>24</v>
      </c>
      <c r="H300" s="16">
        <v>324</v>
      </c>
      <c r="I300" s="16">
        <v>260</v>
      </c>
      <c r="J300" s="16">
        <v>204</v>
      </c>
      <c r="K300" s="16" t="str">
        <f t="shared" si="4"/>
        <v>161+ Wh/km</v>
      </c>
      <c r="L300" s="16">
        <v>260</v>
      </c>
      <c r="M300" s="16" t="str">
        <f>IF(electric_vehicles_spec_2025_csv[[#This Row],[range_km]]&lt;=200, "0–200 km",IF(electric_vehicles_spec_2025_csv[[#This Row],[range_km]]&lt;=400, "201–400 km", "401+ km"))</f>
        <v>201–400 km</v>
      </c>
      <c r="N300" s="16">
        <v>14.2</v>
      </c>
      <c r="O300" s="16" t="str">
        <f>IF(electric_vehicles_spec_2025_csv[[#This Row],[acceleration_0_100_s]]&lt;4,"0–3.9 s",IF(electric_vehicles_spec_2025_csv[[#This Row],[acceleration_0_100_s]]&lt;6,"4.0–5.9 s",IF(electric_vehicles_spec_2025_csv[[#This Row],[acceleration_0_100_s]]&lt;8,"6.0–7.9 s","8.0+ s")))</f>
        <v>8.0+ s</v>
      </c>
      <c r="P300" s="16">
        <v>79</v>
      </c>
      <c r="Q300" s="16" t="str">
        <f>IF(electric_vehicles_spec_2025_csv[[#This Row],[fast_charging_power_kw_dc]]&lt;50,"0–49 kW",IF(electric_vehicles_spec_2025_csv[[#This Row],[fast_charging_power_kw_dc]]&lt;100,"50–99 kW",IF(electric_vehicles_spec_2025_csv[[#This Row],[fast_charging_power_kw_dc]]&lt;150,"100–149 kW","150+ kW")))</f>
        <v>50–99 kW</v>
      </c>
      <c r="R300" s="16" t="s">
        <v>25</v>
      </c>
      <c r="S300" s="16">
        <v>1000</v>
      </c>
      <c r="T300" s="16" t="s">
        <v>272</v>
      </c>
      <c r="U300" s="16">
        <v>9</v>
      </c>
      <c r="V300" s="16" t="s">
        <v>27</v>
      </c>
      <c r="W300" s="16" t="s">
        <v>244</v>
      </c>
      <c r="X300" s="16">
        <v>5333</v>
      </c>
      <c r="Y300" s="16">
        <v>1920</v>
      </c>
      <c r="Z300" s="16">
        <v>1890</v>
      </c>
      <c r="AA300" s="16" t="s">
        <v>245</v>
      </c>
      <c r="AB300" s="16" t="s">
        <v>791</v>
      </c>
    </row>
    <row r="301" spans="1:28" x14ac:dyDescent="0.3">
      <c r="A301" s="16" t="s">
        <v>792</v>
      </c>
      <c r="B301" s="16" t="s">
        <v>793</v>
      </c>
      <c r="C301" s="16">
        <v>150</v>
      </c>
      <c r="D30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1" s="16">
        <v>46.3</v>
      </c>
      <c r="F301" s="16" t="str">
        <f>IF(electric_vehicles_spec_2025_csv[[#This Row],[battery_capacity_kWh]]&lt;=30, "0–30 kWh", IF(electric_vehicles_spec_2025_csv[[#This Row],[battery_capacity_kWh]]&lt;=60, "31–60 kWh", "61+ kWh"))</f>
        <v>31–60 kWh</v>
      </c>
      <c r="G301" s="16" t="s">
        <v>24</v>
      </c>
      <c r="H301" s="16">
        <v>216</v>
      </c>
      <c r="I301" s="16">
        <v>260</v>
      </c>
      <c r="J301" s="16">
        <v>136</v>
      </c>
      <c r="K301" s="16" t="str">
        <f t="shared" si="4"/>
        <v>131–160 Wh/km</v>
      </c>
      <c r="L301" s="16">
        <v>270</v>
      </c>
      <c r="M301" s="16" t="str">
        <f>IF(electric_vehicles_spec_2025_csv[[#This Row],[range_km]]&lt;=200, "0–200 km",IF(electric_vehicles_spec_2025_csv[[#This Row],[range_km]]&lt;=400, "201–400 km", "401+ km"))</f>
        <v>201–400 km</v>
      </c>
      <c r="N301" s="16">
        <v>9.9</v>
      </c>
      <c r="O301" s="16" t="str">
        <f>IF(electric_vehicles_spec_2025_csv[[#This Row],[acceleration_0_100_s]]&lt;4,"0–3.9 s",IF(electric_vehicles_spec_2025_csv[[#This Row],[acceleration_0_100_s]]&lt;6,"4.0–5.9 s",IF(electric_vehicles_spec_2025_csv[[#This Row],[acceleration_0_100_s]]&lt;8,"6.0–7.9 s","8.0+ s")))</f>
        <v>8.0+ s</v>
      </c>
      <c r="P301" s="16">
        <v>78</v>
      </c>
      <c r="Q301" s="16" t="str">
        <f>IF(electric_vehicles_spec_2025_csv[[#This Row],[fast_charging_power_kw_dc]]&lt;50,"0–49 kW",IF(electric_vehicles_spec_2025_csv[[#This Row],[fast_charging_power_kw_dc]]&lt;100,"50–99 kW",IF(electric_vehicles_spec_2025_csv[[#This Row],[fast_charging_power_kw_dc]]&lt;150,"100–149 kW","150+ kW")))</f>
        <v>50–99 kW</v>
      </c>
      <c r="R301" s="16" t="s">
        <v>25</v>
      </c>
      <c r="S301" s="16">
        <v>0</v>
      </c>
      <c r="T301" s="16" t="s">
        <v>794</v>
      </c>
      <c r="U301" s="16">
        <v>5</v>
      </c>
      <c r="V301" s="16" t="s">
        <v>27</v>
      </c>
      <c r="W301" s="16" t="s">
        <v>35</v>
      </c>
      <c r="X301" s="16">
        <v>4304</v>
      </c>
      <c r="Y301" s="16">
        <v>1775</v>
      </c>
      <c r="Z301" s="16">
        <v>1523</v>
      </c>
      <c r="AA301" s="16" t="s">
        <v>36</v>
      </c>
      <c r="AB301" s="16" t="s">
        <v>795</v>
      </c>
    </row>
    <row r="302" spans="1:28" x14ac:dyDescent="0.3">
      <c r="A302" s="16" t="s">
        <v>792</v>
      </c>
      <c r="B302" s="16" t="s">
        <v>796</v>
      </c>
      <c r="C302" s="16">
        <v>150</v>
      </c>
      <c r="D30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2" s="16">
        <v>50.8</v>
      </c>
      <c r="F302" s="16" t="str">
        <f>IF(electric_vehicles_spec_2025_csv[[#This Row],[battery_capacity_kWh]]&lt;=30, "0–30 kWh", IF(electric_vehicles_spec_2025_csv[[#This Row],[battery_capacity_kWh]]&lt;=60, "31–60 kWh", "61+ kWh"))</f>
        <v>31–60 kWh</v>
      </c>
      <c r="G302" s="16" t="s">
        <v>24</v>
      </c>
      <c r="H302" s="16">
        <v>102</v>
      </c>
      <c r="I302" s="16">
        <v>260</v>
      </c>
      <c r="J302" s="16">
        <v>125</v>
      </c>
      <c r="K302" s="16" t="str">
        <f t="shared" si="4"/>
        <v>0–130 Wh/km</v>
      </c>
      <c r="L302" s="16">
        <v>300</v>
      </c>
      <c r="M302" s="16" t="str">
        <f>IF(electric_vehicles_spec_2025_csv[[#This Row],[range_km]]&lt;=200, "0–200 km",IF(electric_vehicles_spec_2025_csv[[#This Row],[range_km]]&lt;=400, "201–400 km", "401+ km"))</f>
        <v>201–400 km</v>
      </c>
      <c r="N302" s="16">
        <v>9.1</v>
      </c>
      <c r="O302" s="16" t="str">
        <f>IF(electric_vehicles_spec_2025_csv[[#This Row],[acceleration_0_100_s]]&lt;4,"0–3.9 s",IF(electric_vehicles_spec_2025_csv[[#This Row],[acceleration_0_100_s]]&lt;6,"4.0–5.9 s",IF(electric_vehicles_spec_2025_csv[[#This Row],[acceleration_0_100_s]]&lt;8,"6.0–7.9 s","8.0+ s")))</f>
        <v>8.0+ s</v>
      </c>
      <c r="P302" s="16">
        <v>85</v>
      </c>
      <c r="Q302" s="16" t="str">
        <f>IF(electric_vehicles_spec_2025_csv[[#This Row],[fast_charging_power_kw_dc]]&lt;50,"0–49 kW",IF(electric_vehicles_spec_2025_csv[[#This Row],[fast_charging_power_kw_dc]]&lt;100,"50–99 kW",IF(electric_vehicles_spec_2025_csv[[#This Row],[fast_charging_power_kw_dc]]&lt;150,"100–149 kW","150+ kW")))</f>
        <v>50–99 kW</v>
      </c>
      <c r="R302" s="16" t="s">
        <v>25</v>
      </c>
      <c r="S302" s="16">
        <v>0</v>
      </c>
      <c r="T302" s="16" t="s">
        <v>794</v>
      </c>
      <c r="U302" s="16">
        <v>5</v>
      </c>
      <c r="V302" s="16" t="s">
        <v>27</v>
      </c>
      <c r="W302" s="16" t="s">
        <v>35</v>
      </c>
      <c r="X302" s="16">
        <v>4304</v>
      </c>
      <c r="Y302" s="16">
        <v>1775</v>
      </c>
      <c r="Z302" s="16">
        <v>1523</v>
      </c>
      <c r="AA302" s="16" t="s">
        <v>36</v>
      </c>
      <c r="AB302" s="16" t="s">
        <v>797</v>
      </c>
    </row>
    <row r="303" spans="1:28" x14ac:dyDescent="0.3">
      <c r="A303" s="16" t="s">
        <v>792</v>
      </c>
      <c r="B303" s="16" t="s">
        <v>798</v>
      </c>
      <c r="C303" s="16">
        <v>150</v>
      </c>
      <c r="D30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3" s="16">
        <v>46.3</v>
      </c>
      <c r="F303" s="16" t="str">
        <f>IF(electric_vehicles_spec_2025_csv[[#This Row],[battery_capacity_kWh]]&lt;=30, "0–30 kWh", IF(electric_vehicles_spec_2025_csv[[#This Row],[battery_capacity_kWh]]&lt;=60, "31–60 kWh", "61+ kWh"))</f>
        <v>31–60 kWh</v>
      </c>
      <c r="G303" s="16" t="s">
        <v>24</v>
      </c>
      <c r="H303" s="16">
        <v>216</v>
      </c>
      <c r="I303" s="16">
        <v>260</v>
      </c>
      <c r="J303" s="16">
        <v>132</v>
      </c>
      <c r="K303" s="16" t="str">
        <f t="shared" si="4"/>
        <v>131–160 Wh/km</v>
      </c>
      <c r="L303" s="16">
        <v>290</v>
      </c>
      <c r="M303" s="16" t="str">
        <f>IF(electric_vehicles_spec_2025_csv[[#This Row],[range_km]]&lt;=200, "0–200 km",IF(electric_vehicles_spec_2025_csv[[#This Row],[range_km]]&lt;=400, "201–400 km", "401+ km"))</f>
        <v>201–400 km</v>
      </c>
      <c r="N303" s="16">
        <v>9</v>
      </c>
      <c r="O303" s="16" t="str">
        <f>IF(electric_vehicles_spec_2025_csv[[#This Row],[acceleration_0_100_s]]&lt;4,"0–3.9 s",IF(electric_vehicles_spec_2025_csv[[#This Row],[acceleration_0_100_s]]&lt;6,"4.0–5.9 s",IF(electric_vehicles_spec_2025_csv[[#This Row],[acceleration_0_100_s]]&lt;8,"6.0–7.9 s","8.0+ s")))</f>
        <v>8.0+ s</v>
      </c>
      <c r="P303" s="16">
        <v>78</v>
      </c>
      <c r="Q303" s="16" t="str">
        <f>IF(electric_vehicles_spec_2025_csv[[#This Row],[fast_charging_power_kw_dc]]&lt;50,"0–49 kW",IF(electric_vehicles_spec_2025_csv[[#This Row],[fast_charging_power_kw_dc]]&lt;100,"50–99 kW",IF(electric_vehicles_spec_2025_csv[[#This Row],[fast_charging_power_kw_dc]]&lt;150,"100–149 kW","150+ kW")))</f>
        <v>50–99 kW</v>
      </c>
      <c r="R303" s="16" t="s">
        <v>25</v>
      </c>
      <c r="S303" s="16">
        <v>0</v>
      </c>
      <c r="T303" s="16" t="s">
        <v>723</v>
      </c>
      <c r="U303" s="16">
        <v>5</v>
      </c>
      <c r="V303" s="16" t="s">
        <v>27</v>
      </c>
      <c r="W303" s="16" t="s">
        <v>28</v>
      </c>
      <c r="X303" s="16">
        <v>4055</v>
      </c>
      <c r="Y303" s="16">
        <v>1765</v>
      </c>
      <c r="Z303" s="16">
        <v>1430</v>
      </c>
      <c r="AA303" s="16" t="s">
        <v>29</v>
      </c>
      <c r="AB303" s="16" t="s">
        <v>799</v>
      </c>
    </row>
    <row r="304" spans="1:28" x14ac:dyDescent="0.3">
      <c r="A304" s="16" t="s">
        <v>792</v>
      </c>
      <c r="B304" s="16" t="s">
        <v>800</v>
      </c>
      <c r="C304" s="16">
        <v>150</v>
      </c>
      <c r="D30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4" s="16">
        <v>48.1</v>
      </c>
      <c r="F304" s="16" t="str">
        <f>IF(electric_vehicles_spec_2025_csv[[#This Row],[battery_capacity_kWh]]&lt;=30, "0–30 kWh", IF(electric_vehicles_spec_2025_csv[[#This Row],[battery_capacity_kWh]]&lt;=60, "31–60 kWh", "61+ kWh"))</f>
        <v>31–60 kWh</v>
      </c>
      <c r="G304" s="16" t="s">
        <v>24</v>
      </c>
      <c r="H304" s="16">
        <v>96</v>
      </c>
      <c r="I304" s="16">
        <v>260</v>
      </c>
      <c r="J304" s="16">
        <v>120</v>
      </c>
      <c r="K304" s="16" t="str">
        <f t="shared" si="4"/>
        <v>0–130 Wh/km</v>
      </c>
      <c r="L304" s="16">
        <v>310</v>
      </c>
      <c r="M304" s="16" t="str">
        <f>IF(electric_vehicles_spec_2025_csv[[#This Row],[range_km]]&lt;=200, "0–200 km",IF(electric_vehicles_spec_2025_csv[[#This Row],[range_km]]&lt;=400, "201–400 km", "401+ km"))</f>
        <v>201–400 km</v>
      </c>
      <c r="N304" s="16">
        <v>8.1999999999999993</v>
      </c>
      <c r="O304" s="16" t="str">
        <f>IF(electric_vehicles_spec_2025_csv[[#This Row],[acceleration_0_100_s]]&lt;4,"0–3.9 s",IF(electric_vehicles_spec_2025_csv[[#This Row],[acceleration_0_100_s]]&lt;6,"4.0–5.9 s",IF(electric_vehicles_spec_2025_csv[[#This Row],[acceleration_0_100_s]]&lt;8,"6.0–7.9 s","8.0+ s")))</f>
        <v>8.0+ s</v>
      </c>
      <c r="P304" s="16">
        <v>80</v>
      </c>
      <c r="Q304" s="16" t="str">
        <f>IF(electric_vehicles_spec_2025_csv[[#This Row],[fast_charging_power_kw_dc]]&lt;50,"0–49 kW",IF(electric_vehicles_spec_2025_csv[[#This Row],[fast_charging_power_kw_dc]]&lt;100,"50–99 kW",IF(electric_vehicles_spec_2025_csv[[#This Row],[fast_charging_power_kw_dc]]&lt;150,"100–149 kW","150+ kW")))</f>
        <v>50–99 kW</v>
      </c>
      <c r="R304" s="16" t="s">
        <v>25</v>
      </c>
      <c r="S304" s="16">
        <v>0</v>
      </c>
      <c r="T304" s="16" t="s">
        <v>723</v>
      </c>
      <c r="U304" s="16">
        <v>5</v>
      </c>
      <c r="V304" s="16" t="s">
        <v>27</v>
      </c>
      <c r="W304" s="16" t="s">
        <v>28</v>
      </c>
      <c r="X304" s="16">
        <v>4055</v>
      </c>
      <c r="Y304" s="16">
        <v>1765</v>
      </c>
      <c r="Z304" s="16">
        <v>1430</v>
      </c>
      <c r="AA304" s="16" t="s">
        <v>29</v>
      </c>
      <c r="AB304" s="16" t="s">
        <v>801</v>
      </c>
    </row>
    <row r="305" spans="1:28" x14ac:dyDescent="0.3">
      <c r="A305" s="16" t="s">
        <v>792</v>
      </c>
      <c r="B305" s="16" t="s">
        <v>802</v>
      </c>
      <c r="C305" s="16">
        <v>170</v>
      </c>
      <c r="D30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5" s="16">
        <v>73</v>
      </c>
      <c r="F305" s="16" t="str">
        <f>IF(electric_vehicles_spec_2025_csv[[#This Row],[battery_capacity_kWh]]&lt;=30, "0–30 kWh", IF(electric_vehicles_spec_2025_csv[[#This Row],[battery_capacity_kWh]]&lt;=60, "31–60 kWh", "61+ kWh"))</f>
        <v>61+ kWh</v>
      </c>
      <c r="G305" s="16" t="s">
        <v>24</v>
      </c>
      <c r="H305" s="16">
        <v>96</v>
      </c>
      <c r="I305" s="16">
        <v>345</v>
      </c>
      <c r="J305" s="16">
        <v>143</v>
      </c>
      <c r="K305" s="16" t="str">
        <f t="shared" si="4"/>
        <v>131–160 Wh/km</v>
      </c>
      <c r="L305" s="16">
        <v>380</v>
      </c>
      <c r="M305" s="16" t="str">
        <f>IF(electric_vehicles_spec_2025_csv[[#This Row],[range_km]]&lt;=200, "0–200 km",IF(electric_vehicles_spec_2025_csv[[#This Row],[range_km]]&lt;=400, "201–400 km", "401+ km"))</f>
        <v>201–400 km</v>
      </c>
      <c r="N305" s="16">
        <v>8.8000000000000007</v>
      </c>
      <c r="O305" s="16" t="str">
        <f>IF(electric_vehicles_spec_2025_csv[[#This Row],[acceleration_0_100_s]]&lt;4,"0–3.9 s",IF(electric_vehicles_spec_2025_csv[[#This Row],[acceleration_0_100_s]]&lt;6,"4.0–5.9 s",IF(electric_vehicles_spec_2025_csv[[#This Row],[acceleration_0_100_s]]&lt;8,"6.0–7.9 s","8.0+ s")))</f>
        <v>8.0+ s</v>
      </c>
      <c r="P305" s="16">
        <v>90</v>
      </c>
      <c r="Q305" s="16" t="str">
        <f>IF(electric_vehicles_spec_2025_csv[[#This Row],[fast_charging_power_kw_dc]]&lt;50,"0–49 kW",IF(electric_vehicles_spec_2025_csv[[#This Row],[fast_charging_power_kw_dc]]&lt;100,"50–99 kW",IF(electric_vehicles_spec_2025_csv[[#This Row],[fast_charging_power_kw_dc]]&lt;150,"100–149 kW","150+ kW")))</f>
        <v>50–99 kW</v>
      </c>
      <c r="R305" s="16" t="s">
        <v>25</v>
      </c>
      <c r="S305" s="16">
        <v>1250</v>
      </c>
      <c r="T305" s="16" t="s">
        <v>803</v>
      </c>
      <c r="U305" s="16">
        <v>5</v>
      </c>
      <c r="V305" s="16" t="s">
        <v>27</v>
      </c>
      <c r="W305" s="16" t="s">
        <v>43</v>
      </c>
      <c r="X305" s="16">
        <v>4542</v>
      </c>
      <c r="Y305" s="16">
        <v>1895</v>
      </c>
      <c r="Z305" s="16">
        <v>1641</v>
      </c>
      <c r="AA305" s="16" t="s">
        <v>36</v>
      </c>
      <c r="AB305" s="16" t="s">
        <v>804</v>
      </c>
    </row>
    <row r="306" spans="1:28" x14ac:dyDescent="0.3">
      <c r="A306" s="16" t="s">
        <v>792</v>
      </c>
      <c r="B306" s="16" t="s">
        <v>805</v>
      </c>
      <c r="C306" s="16">
        <v>170</v>
      </c>
      <c r="D30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6" s="16">
        <v>73</v>
      </c>
      <c r="F306" s="16" t="str">
        <f>IF(electric_vehicles_spec_2025_csv[[#This Row],[battery_capacity_kWh]]&lt;=30, "0–30 kWh", IF(electric_vehicles_spec_2025_csv[[#This Row],[battery_capacity_kWh]]&lt;=60, "31–60 kWh", "61+ kWh"))</f>
        <v>61+ kWh</v>
      </c>
      <c r="G306" s="16" t="s">
        <v>24</v>
      </c>
      <c r="H306" s="16">
        <v>96</v>
      </c>
      <c r="I306" s="16">
        <v>511</v>
      </c>
      <c r="J306" s="16">
        <v>195</v>
      </c>
      <c r="K306" s="16" t="str">
        <f t="shared" si="4"/>
        <v>161+ Wh/km</v>
      </c>
      <c r="L306" s="16">
        <v>375</v>
      </c>
      <c r="M306" s="16" t="str">
        <f>IF(electric_vehicles_spec_2025_csv[[#This Row],[range_km]]&lt;=200, "0–200 km",IF(electric_vehicles_spec_2025_csv[[#This Row],[range_km]]&lt;=400, "201–400 km", "401+ km"))</f>
        <v>201–400 km</v>
      </c>
      <c r="N306" s="16">
        <v>6.4</v>
      </c>
      <c r="O306" s="16" t="str">
        <f>IF(electric_vehicles_spec_2025_csv[[#This Row],[acceleration_0_100_s]]&lt;4,"0–3.9 s",IF(electric_vehicles_spec_2025_csv[[#This Row],[acceleration_0_100_s]]&lt;6,"4.0–5.9 s",IF(electric_vehicles_spec_2025_csv[[#This Row],[acceleration_0_100_s]]&lt;8,"6.0–7.9 s","8.0+ s")))</f>
        <v>6.0–7.9 s</v>
      </c>
      <c r="P306" s="16">
        <v>90</v>
      </c>
      <c r="Q306" s="16" t="str">
        <f>IF(electric_vehicles_spec_2025_csv[[#This Row],[fast_charging_power_kw_dc]]&lt;50,"0–49 kW",IF(electric_vehicles_spec_2025_csv[[#This Row],[fast_charging_power_kw_dc]]&lt;100,"50–99 kW",IF(electric_vehicles_spec_2025_csv[[#This Row],[fast_charging_power_kw_dc]]&lt;150,"100–149 kW","150+ kW")))</f>
        <v>50–99 kW</v>
      </c>
      <c r="R306" s="16" t="s">
        <v>25</v>
      </c>
      <c r="S306" s="16"/>
      <c r="T306" s="16" t="s">
        <v>803</v>
      </c>
      <c r="U306" s="16">
        <v>5</v>
      </c>
      <c r="V306" s="16" t="s">
        <v>70</v>
      </c>
      <c r="W306" s="16" t="s">
        <v>43</v>
      </c>
      <c r="X306" s="16">
        <v>4542</v>
      </c>
      <c r="Y306" s="16">
        <v>1895</v>
      </c>
      <c r="Z306" s="16">
        <v>1641</v>
      </c>
      <c r="AA306" s="16" t="s">
        <v>36</v>
      </c>
      <c r="AB306" s="16" t="s">
        <v>806</v>
      </c>
    </row>
    <row r="307" spans="1:28" x14ac:dyDescent="0.3">
      <c r="A307" s="16" t="s">
        <v>792</v>
      </c>
      <c r="B307" s="16" t="s">
        <v>807</v>
      </c>
      <c r="C307" s="16">
        <v>170</v>
      </c>
      <c r="D30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7" s="16">
        <v>96.9</v>
      </c>
      <c r="F307" s="16" t="str">
        <f>IF(electric_vehicles_spec_2025_csv[[#This Row],[battery_capacity_kWh]]&lt;=30, "0–30 kWh", IF(electric_vehicles_spec_2025_csv[[#This Row],[battery_capacity_kWh]]&lt;=60, "31–60 kWh", "61+ kWh"))</f>
        <v>61+ kWh</v>
      </c>
      <c r="G307" s="16" t="s">
        <v>24</v>
      </c>
      <c r="H307" s="16"/>
      <c r="I307" s="16">
        <v>345</v>
      </c>
      <c r="J307" s="16">
        <v>145</v>
      </c>
      <c r="K307" s="16" t="str">
        <f t="shared" si="4"/>
        <v>131–160 Wh/km</v>
      </c>
      <c r="L307" s="16">
        <v>500</v>
      </c>
      <c r="M307" s="16" t="str">
        <f>IF(electric_vehicles_spec_2025_csv[[#This Row],[range_km]]&lt;=200, "0–200 km",IF(electric_vehicles_spec_2025_csv[[#This Row],[range_km]]&lt;=400, "201–400 km", "401+ km"))</f>
        <v>401+ km</v>
      </c>
      <c r="N307" s="16">
        <v>8.6999999999999993</v>
      </c>
      <c r="O307" s="16" t="str">
        <f>IF(electric_vehicles_spec_2025_csv[[#This Row],[acceleration_0_100_s]]&lt;4,"0–3.9 s",IF(electric_vehicles_spec_2025_csv[[#This Row],[acceleration_0_100_s]]&lt;6,"4.0–5.9 s",IF(electric_vehicles_spec_2025_csv[[#This Row],[acceleration_0_100_s]]&lt;8,"6.0–7.9 s","8.0+ s")))</f>
        <v>8.0+ s</v>
      </c>
      <c r="P307" s="16">
        <v>135</v>
      </c>
      <c r="Q307" s="16" t="str">
        <f>IF(electric_vehicles_spec_2025_csv[[#This Row],[fast_charging_power_kw_dc]]&lt;50,"0–49 kW",IF(electric_vehicles_spec_2025_csv[[#This Row],[fast_charging_power_kw_dc]]&lt;100,"50–99 kW",IF(electric_vehicles_spec_2025_csv[[#This Row],[fast_charging_power_kw_dc]]&lt;150,"100–149 kW","150+ kW")))</f>
        <v>100–149 kW</v>
      </c>
      <c r="R307" s="16" t="s">
        <v>25</v>
      </c>
      <c r="S307" s="16">
        <v>1200</v>
      </c>
      <c r="T307" s="16" t="s">
        <v>803</v>
      </c>
      <c r="U307" s="16">
        <v>5</v>
      </c>
      <c r="V307" s="16" t="s">
        <v>27</v>
      </c>
      <c r="W307" s="16" t="s">
        <v>43</v>
      </c>
      <c r="X307" s="16">
        <v>4542</v>
      </c>
      <c r="Y307" s="16">
        <v>1895</v>
      </c>
      <c r="Z307" s="16">
        <v>1641</v>
      </c>
      <c r="AA307" s="16" t="s">
        <v>36</v>
      </c>
      <c r="AB307" s="16" t="s">
        <v>808</v>
      </c>
    </row>
    <row r="308" spans="1:28" x14ac:dyDescent="0.3">
      <c r="A308" s="16" t="s">
        <v>792</v>
      </c>
      <c r="B308" s="16" t="s">
        <v>809</v>
      </c>
      <c r="C308" s="16">
        <v>170</v>
      </c>
      <c r="D30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8" s="16">
        <v>50.8</v>
      </c>
      <c r="F308" s="16" t="str">
        <f>IF(electric_vehicles_spec_2025_csv[[#This Row],[battery_capacity_kWh]]&lt;=30, "0–30 kWh", IF(electric_vehicles_spec_2025_csv[[#This Row],[battery_capacity_kWh]]&lt;=60, "31–60 kWh", "61+ kWh"))</f>
        <v>31–60 kWh</v>
      </c>
      <c r="G308" s="16" t="s">
        <v>24</v>
      </c>
      <c r="H308" s="16">
        <v>102</v>
      </c>
      <c r="I308" s="16">
        <v>260</v>
      </c>
      <c r="J308" s="16">
        <v>124</v>
      </c>
      <c r="K308" s="16" t="str">
        <f t="shared" si="4"/>
        <v>0–130 Wh/km</v>
      </c>
      <c r="L308" s="16">
        <v>300</v>
      </c>
      <c r="M308" s="16" t="str">
        <f>IF(electric_vehicles_spec_2025_csv[[#This Row],[range_km]]&lt;=200, "0–200 km",IF(electric_vehicles_spec_2025_csv[[#This Row],[range_km]]&lt;=400, "201–400 km", "401+ km"))</f>
        <v>201–400 km</v>
      </c>
      <c r="N308" s="16">
        <v>9.8000000000000007</v>
      </c>
      <c r="O308" s="16" t="str">
        <f>IF(electric_vehicles_spec_2025_csv[[#This Row],[acceleration_0_100_s]]&lt;4,"0–3.9 s",IF(electric_vehicles_spec_2025_csv[[#This Row],[acceleration_0_100_s]]&lt;6,"4.0–5.9 s",IF(electric_vehicles_spec_2025_csv[[#This Row],[acceleration_0_100_s]]&lt;8,"6.0–7.9 s","8.0+ s")))</f>
        <v>8.0+ s</v>
      </c>
      <c r="P308" s="16">
        <v>80</v>
      </c>
      <c r="Q308" s="16" t="str">
        <f>IF(electric_vehicles_spec_2025_csv[[#This Row],[fast_charging_power_kw_dc]]&lt;50,"0–49 kW",IF(electric_vehicles_spec_2025_csv[[#This Row],[fast_charging_power_kw_dc]]&lt;100,"50–99 kW",IF(electric_vehicles_spec_2025_csv[[#This Row],[fast_charging_power_kw_dc]]&lt;150,"100–149 kW","150+ kW")))</f>
        <v>50–99 kW</v>
      </c>
      <c r="R308" s="16" t="s">
        <v>25</v>
      </c>
      <c r="S308" s="16">
        <v>0</v>
      </c>
      <c r="T308" s="16" t="s">
        <v>810</v>
      </c>
      <c r="U308" s="16">
        <v>5</v>
      </c>
      <c r="V308" s="16" t="s">
        <v>27</v>
      </c>
      <c r="W308" s="16" t="s">
        <v>190</v>
      </c>
      <c r="X308" s="16">
        <v>4367</v>
      </c>
      <c r="Y308" s="16">
        <v>1852</v>
      </c>
      <c r="Z308" s="16">
        <v>1441</v>
      </c>
      <c r="AA308" s="16" t="s">
        <v>29</v>
      </c>
      <c r="AB308" s="16" t="s">
        <v>811</v>
      </c>
    </row>
    <row r="309" spans="1:28" x14ac:dyDescent="0.3">
      <c r="A309" s="16" t="s">
        <v>792</v>
      </c>
      <c r="B309" s="16" t="s">
        <v>812</v>
      </c>
      <c r="C309" s="16">
        <v>150</v>
      </c>
      <c r="D30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09" s="16">
        <v>50.8</v>
      </c>
      <c r="F309" s="16" t="str">
        <f>IF(electric_vehicles_spec_2025_csv[[#This Row],[battery_capacity_kWh]]&lt;=30, "0–30 kWh", IF(electric_vehicles_spec_2025_csv[[#This Row],[battery_capacity_kWh]]&lt;=60, "31–60 kWh", "61+ kWh"))</f>
        <v>31–60 kWh</v>
      </c>
      <c r="G309" s="16" t="s">
        <v>24</v>
      </c>
      <c r="H309" s="16">
        <v>102</v>
      </c>
      <c r="I309" s="16">
        <v>260</v>
      </c>
      <c r="J309" s="16">
        <v>127</v>
      </c>
      <c r="K309" s="16" t="str">
        <f t="shared" si="4"/>
        <v>0–130 Wh/km</v>
      </c>
      <c r="L309" s="16">
        <v>300</v>
      </c>
      <c r="M309" s="16" t="str">
        <f>IF(electric_vehicles_spec_2025_csv[[#This Row],[range_km]]&lt;=200, "0–200 km",IF(electric_vehicles_spec_2025_csv[[#This Row],[range_km]]&lt;=400, "201–400 km", "401+ km"))</f>
        <v>201–400 km</v>
      </c>
      <c r="N309" s="16">
        <v>10</v>
      </c>
      <c r="O309" s="16" t="str">
        <f>IF(electric_vehicles_spec_2025_csv[[#This Row],[acceleration_0_100_s]]&lt;4,"0–3.9 s",IF(electric_vehicles_spec_2025_csv[[#This Row],[acceleration_0_100_s]]&lt;6,"4.0–5.9 s",IF(electric_vehicles_spec_2025_csv[[#This Row],[acceleration_0_100_s]]&lt;8,"6.0–7.9 s","8.0+ s")))</f>
        <v>8.0+ s</v>
      </c>
      <c r="P309" s="16">
        <v>80</v>
      </c>
      <c r="Q309" s="16" t="str">
        <f>IF(electric_vehicles_spec_2025_csv[[#This Row],[fast_charging_power_kw_dc]]&lt;50,"0–49 kW",IF(electric_vehicles_spec_2025_csv[[#This Row],[fast_charging_power_kw_dc]]&lt;100,"50–99 kW",IF(electric_vehicles_spec_2025_csv[[#This Row],[fast_charging_power_kw_dc]]&lt;150,"100–149 kW","150+ kW")))</f>
        <v>50–99 kW</v>
      </c>
      <c r="R309" s="16" t="s">
        <v>25</v>
      </c>
      <c r="S309" s="16"/>
      <c r="T309" s="16" t="s">
        <v>813</v>
      </c>
      <c r="U309" s="16">
        <v>5</v>
      </c>
      <c r="V309" s="16" t="s">
        <v>27</v>
      </c>
      <c r="W309" s="16" t="s">
        <v>190</v>
      </c>
      <c r="X309" s="16">
        <v>4636</v>
      </c>
      <c r="Y309" s="16">
        <v>1852</v>
      </c>
      <c r="Z309" s="16">
        <v>1442</v>
      </c>
      <c r="AA309" s="16" t="s">
        <v>65</v>
      </c>
      <c r="AB309" s="16" t="s">
        <v>814</v>
      </c>
    </row>
    <row r="310" spans="1:28" x14ac:dyDescent="0.3">
      <c r="A310" s="16" t="s">
        <v>792</v>
      </c>
      <c r="B310" s="16" t="s">
        <v>815</v>
      </c>
      <c r="C310" s="16">
        <v>160</v>
      </c>
      <c r="D31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10" s="16">
        <v>58.3</v>
      </c>
      <c r="F310" s="16" t="str">
        <f>IF(electric_vehicles_spec_2025_csv[[#This Row],[battery_capacity_kWh]]&lt;=30, "0–30 kWh", IF(electric_vehicles_spec_2025_csv[[#This Row],[battery_capacity_kWh]]&lt;=60, "31–60 kWh", "61+ kWh"))</f>
        <v>31–60 kWh</v>
      </c>
      <c r="G310" s="16" t="s">
        <v>24</v>
      </c>
      <c r="H310" s="16"/>
      <c r="I310" s="16">
        <v>345</v>
      </c>
      <c r="J310" s="16">
        <v>129</v>
      </c>
      <c r="K310" s="16" t="str">
        <f t="shared" si="4"/>
        <v>0–130 Wh/km</v>
      </c>
      <c r="L310" s="16">
        <v>375</v>
      </c>
      <c r="M310" s="16" t="str">
        <f>IF(electric_vehicles_spec_2025_csv[[#This Row],[range_km]]&lt;=200, "0–200 km",IF(electric_vehicles_spec_2025_csv[[#This Row],[range_km]]&lt;=400, "201–400 km", "401+ km"))</f>
        <v>201–400 km</v>
      </c>
      <c r="N310" s="16">
        <v>7.2</v>
      </c>
      <c r="O310" s="16" t="str">
        <f>IF(electric_vehicles_spec_2025_csv[[#This Row],[acceleration_0_100_s]]&lt;4,"0–3.9 s",IF(electric_vehicles_spec_2025_csv[[#This Row],[acceleration_0_100_s]]&lt;6,"4.0–5.9 s",IF(electric_vehicles_spec_2025_csv[[#This Row],[acceleration_0_100_s]]&lt;8,"6.0–7.9 s","8.0+ s")))</f>
        <v>6.0–7.9 s</v>
      </c>
      <c r="P310" s="16">
        <v>70</v>
      </c>
      <c r="Q310" s="16" t="str">
        <f>IF(electric_vehicles_spec_2025_csv[[#This Row],[fast_charging_power_kw_dc]]&lt;50,"0–49 kW",IF(electric_vehicles_spec_2025_csv[[#This Row],[fast_charging_power_kw_dc]]&lt;100,"50–99 kW",IF(electric_vehicles_spec_2025_csv[[#This Row],[fast_charging_power_kw_dc]]&lt;150,"100–149 kW","150+ kW")))</f>
        <v>50–99 kW</v>
      </c>
      <c r="R310" s="16" t="s">
        <v>25</v>
      </c>
      <c r="S310" s="16"/>
      <c r="T310" s="16" t="s">
        <v>816</v>
      </c>
      <c r="U310" s="16">
        <v>5</v>
      </c>
      <c r="V310" s="16" t="s">
        <v>27</v>
      </c>
      <c r="W310" s="16" t="s">
        <v>99</v>
      </c>
      <c r="X310" s="16">
        <v>4687</v>
      </c>
      <c r="Y310" s="16">
        <v>1859</v>
      </c>
      <c r="Z310" s="16">
        <v>1478</v>
      </c>
      <c r="AA310" s="16" t="s">
        <v>36</v>
      </c>
      <c r="AB310" s="16" t="s">
        <v>817</v>
      </c>
    </row>
    <row r="311" spans="1:28" x14ac:dyDescent="0.3">
      <c r="A311" s="16" t="s">
        <v>792</v>
      </c>
      <c r="B311" s="16" t="s">
        <v>818</v>
      </c>
      <c r="C311" s="16">
        <v>170</v>
      </c>
      <c r="D31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11" s="16">
        <v>73</v>
      </c>
      <c r="F311" s="16" t="str">
        <f>IF(electric_vehicles_spec_2025_csv[[#This Row],[battery_capacity_kWh]]&lt;=30, "0–30 kWh", IF(electric_vehicles_spec_2025_csv[[#This Row],[battery_capacity_kWh]]&lt;=60, "31–60 kWh", "61+ kWh"))</f>
        <v>61+ kWh</v>
      </c>
      <c r="G311" s="16" t="s">
        <v>24</v>
      </c>
      <c r="H311" s="16">
        <v>96</v>
      </c>
      <c r="I311" s="16">
        <v>345</v>
      </c>
      <c r="J311" s="16">
        <v>150</v>
      </c>
      <c r="K311" s="16" t="str">
        <f t="shared" si="4"/>
        <v>131–160 Wh/km</v>
      </c>
      <c r="L311" s="16">
        <v>370</v>
      </c>
      <c r="M311" s="16" t="str">
        <f>IF(electric_vehicles_spec_2025_csv[[#This Row],[range_km]]&lt;=200, "0–200 km",IF(electric_vehicles_spec_2025_csv[[#This Row],[range_km]]&lt;=400, "201–400 km", "401+ km"))</f>
        <v>201–400 km</v>
      </c>
      <c r="N311" s="16">
        <v>9.6999999999999993</v>
      </c>
      <c r="O311" s="16" t="str">
        <f>IF(electric_vehicles_spec_2025_csv[[#This Row],[acceleration_0_100_s]]&lt;4,"0–3.9 s",IF(electric_vehicles_spec_2025_csv[[#This Row],[acceleration_0_100_s]]&lt;6,"4.0–5.9 s",IF(electric_vehicles_spec_2025_csv[[#This Row],[acceleration_0_100_s]]&lt;8,"6.0–7.9 s","8.0+ s")))</f>
        <v>8.0+ s</v>
      </c>
      <c r="P311" s="16">
        <v>90</v>
      </c>
      <c r="Q311" s="16" t="str">
        <f>IF(electric_vehicles_spec_2025_csv[[#This Row],[fast_charging_power_kw_dc]]&lt;50,"0–49 kW",IF(electric_vehicles_spec_2025_csv[[#This Row],[fast_charging_power_kw_dc]]&lt;100,"50–99 kW",IF(electric_vehicles_spec_2025_csv[[#This Row],[fast_charging_power_kw_dc]]&lt;150,"100–149 kW","150+ kW")))</f>
        <v>50–99 kW</v>
      </c>
      <c r="R311" s="16" t="s">
        <v>25</v>
      </c>
      <c r="S311" s="16">
        <v>1000</v>
      </c>
      <c r="T311" s="16" t="s">
        <v>819</v>
      </c>
      <c r="U311" s="16">
        <v>7</v>
      </c>
      <c r="V311" s="16" t="s">
        <v>27</v>
      </c>
      <c r="W311" s="16" t="s">
        <v>99</v>
      </c>
      <c r="X311" s="16">
        <v>4791</v>
      </c>
      <c r="Y311" s="16">
        <v>1895</v>
      </c>
      <c r="Z311" s="16">
        <v>1694</v>
      </c>
      <c r="AA311" s="16" t="s">
        <v>36</v>
      </c>
      <c r="AB311" s="16" t="s">
        <v>820</v>
      </c>
    </row>
    <row r="312" spans="1:28" x14ac:dyDescent="0.3">
      <c r="A312" s="16" t="s">
        <v>792</v>
      </c>
      <c r="B312" s="16" t="s">
        <v>821</v>
      </c>
      <c r="C312" s="16">
        <v>170</v>
      </c>
      <c r="D31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12" s="16">
        <v>73</v>
      </c>
      <c r="F312" s="16" t="str">
        <f>IF(electric_vehicles_spec_2025_csv[[#This Row],[battery_capacity_kWh]]&lt;=30, "0–30 kWh", IF(electric_vehicles_spec_2025_csv[[#This Row],[battery_capacity_kWh]]&lt;=60, "31–60 kWh", "61+ kWh"))</f>
        <v>61+ kWh</v>
      </c>
      <c r="G312" s="16" t="s">
        <v>24</v>
      </c>
      <c r="H312" s="16">
        <v>96</v>
      </c>
      <c r="I312" s="16">
        <v>511</v>
      </c>
      <c r="J312" s="16">
        <v>203</v>
      </c>
      <c r="K312" s="16" t="str">
        <f t="shared" si="4"/>
        <v>161+ Wh/km</v>
      </c>
      <c r="L312" s="16">
        <v>360</v>
      </c>
      <c r="M312" s="16" t="str">
        <f>IF(electric_vehicles_spec_2025_csv[[#This Row],[range_km]]&lt;=200, "0–200 km",IF(electric_vehicles_spec_2025_csv[[#This Row],[range_km]]&lt;=400, "201–400 km", "401+ km"))</f>
        <v>201–400 km</v>
      </c>
      <c r="N312" s="16">
        <v>7</v>
      </c>
      <c r="O312" s="16" t="str">
        <f>IF(electric_vehicles_spec_2025_csv[[#This Row],[acceleration_0_100_s]]&lt;4,"0–3.9 s",IF(electric_vehicles_spec_2025_csv[[#This Row],[acceleration_0_100_s]]&lt;6,"4.0–5.9 s",IF(electric_vehicles_spec_2025_csv[[#This Row],[acceleration_0_100_s]]&lt;8,"6.0–7.9 s","8.0+ s")))</f>
        <v>6.0–7.9 s</v>
      </c>
      <c r="P312" s="16">
        <v>90</v>
      </c>
      <c r="Q312" s="16" t="str">
        <f>IF(electric_vehicles_spec_2025_csv[[#This Row],[fast_charging_power_kw_dc]]&lt;50,"0–49 kW",IF(electric_vehicles_spec_2025_csv[[#This Row],[fast_charging_power_kw_dc]]&lt;100,"50–99 kW",IF(electric_vehicles_spec_2025_csv[[#This Row],[fast_charging_power_kw_dc]]&lt;150,"100–149 kW","150+ kW")))</f>
        <v>50–99 kW</v>
      </c>
      <c r="R312" s="16" t="s">
        <v>25</v>
      </c>
      <c r="S312" s="16"/>
      <c r="T312" s="16" t="s">
        <v>819</v>
      </c>
      <c r="U312" s="16">
        <v>7</v>
      </c>
      <c r="V312" s="16" t="s">
        <v>70</v>
      </c>
      <c r="W312" s="16" t="s">
        <v>99</v>
      </c>
      <c r="X312" s="16">
        <v>4791</v>
      </c>
      <c r="Y312" s="16">
        <v>1895</v>
      </c>
      <c r="Z312" s="16">
        <v>1694</v>
      </c>
      <c r="AA312" s="16" t="s">
        <v>36</v>
      </c>
      <c r="AB312" s="16" t="s">
        <v>822</v>
      </c>
    </row>
    <row r="313" spans="1:28" x14ac:dyDescent="0.3">
      <c r="A313" s="16" t="s">
        <v>792</v>
      </c>
      <c r="B313" s="16" t="s">
        <v>823</v>
      </c>
      <c r="C313" s="16">
        <v>170</v>
      </c>
      <c r="D31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13" s="16">
        <v>96.9</v>
      </c>
      <c r="F313" s="16" t="str">
        <f>IF(electric_vehicles_spec_2025_csv[[#This Row],[battery_capacity_kWh]]&lt;=30, "0–30 kWh", IF(electric_vehicles_spec_2025_csv[[#This Row],[battery_capacity_kWh]]&lt;=60, "31–60 kWh", "61+ kWh"))</f>
        <v>61+ kWh</v>
      </c>
      <c r="G313" s="16" t="s">
        <v>24</v>
      </c>
      <c r="H313" s="16"/>
      <c r="I313" s="16">
        <v>345</v>
      </c>
      <c r="J313" s="16">
        <v>152</v>
      </c>
      <c r="K313" s="16" t="str">
        <f t="shared" si="4"/>
        <v>131–160 Wh/km</v>
      </c>
      <c r="L313" s="16">
        <v>485</v>
      </c>
      <c r="M313" s="16" t="str">
        <f>IF(electric_vehicles_spec_2025_csv[[#This Row],[range_km]]&lt;=200, "0–200 km",IF(electric_vehicles_spec_2025_csv[[#This Row],[range_km]]&lt;=400, "201–400 km", "401+ km"))</f>
        <v>401+ km</v>
      </c>
      <c r="N313" s="16">
        <v>9.6</v>
      </c>
      <c r="O313" s="16" t="str">
        <f>IF(electric_vehicles_spec_2025_csv[[#This Row],[acceleration_0_100_s]]&lt;4,"0–3.9 s",IF(electric_vehicles_spec_2025_csv[[#This Row],[acceleration_0_100_s]]&lt;6,"4.0–5.9 s",IF(electric_vehicles_spec_2025_csv[[#This Row],[acceleration_0_100_s]]&lt;8,"6.0–7.9 s","8.0+ s")))</f>
        <v>8.0+ s</v>
      </c>
      <c r="P313" s="16">
        <v>135</v>
      </c>
      <c r="Q313" s="16" t="str">
        <f>IF(electric_vehicles_spec_2025_csv[[#This Row],[fast_charging_power_kw_dc]]&lt;50,"0–49 kW",IF(electric_vehicles_spec_2025_csv[[#This Row],[fast_charging_power_kw_dc]]&lt;100,"50–99 kW",IF(electric_vehicles_spec_2025_csv[[#This Row],[fast_charging_power_kw_dc]]&lt;150,"100–149 kW","150+ kW")))</f>
        <v>100–149 kW</v>
      </c>
      <c r="R313" s="16" t="s">
        <v>25</v>
      </c>
      <c r="S313" s="16">
        <v>1000</v>
      </c>
      <c r="T313" s="16" t="s">
        <v>819</v>
      </c>
      <c r="U313" s="16">
        <v>7</v>
      </c>
      <c r="V313" s="16" t="s">
        <v>27</v>
      </c>
      <c r="W313" s="16" t="s">
        <v>99</v>
      </c>
      <c r="X313" s="16">
        <v>4791</v>
      </c>
      <c r="Y313" s="16">
        <v>1895</v>
      </c>
      <c r="Z313" s="16">
        <v>1694</v>
      </c>
      <c r="AA313" s="16" t="s">
        <v>36</v>
      </c>
      <c r="AB313" s="16" t="s">
        <v>824</v>
      </c>
    </row>
    <row r="314" spans="1:28" x14ac:dyDescent="0.3">
      <c r="A314" s="16" t="s">
        <v>792</v>
      </c>
      <c r="B314" s="16" t="s">
        <v>825</v>
      </c>
      <c r="C314" s="16">
        <v>132</v>
      </c>
      <c r="D31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14" s="16">
        <v>50</v>
      </c>
      <c r="F314" s="16" t="str">
        <f>IF(electric_vehicles_spec_2025_csv[[#This Row],[battery_capacity_kWh]]&lt;=30, "0–30 kWh", IF(electric_vehicles_spec_2025_csv[[#This Row],[battery_capacity_kWh]]&lt;=60, "31–60 kWh", "61+ kWh"))</f>
        <v>31–60 kWh</v>
      </c>
      <c r="G314" s="16" t="s">
        <v>24</v>
      </c>
      <c r="H314" s="16"/>
      <c r="I314" s="16">
        <v>270</v>
      </c>
      <c r="J314" s="16">
        <v>152</v>
      </c>
      <c r="K314" s="16" t="str">
        <f t="shared" si="4"/>
        <v>131–160 Wh/km</v>
      </c>
      <c r="L314" s="16">
        <v>235</v>
      </c>
      <c r="M314" s="16" t="str">
        <f>IF(electric_vehicles_spec_2025_csv[[#This Row],[range_km]]&lt;=200, "0–200 km",IF(electric_vehicles_spec_2025_csv[[#This Row],[range_km]]&lt;=400, "201–400 km", "401+ km"))</f>
        <v>201–400 km</v>
      </c>
      <c r="N314" s="16">
        <v>11.7</v>
      </c>
      <c r="O314" s="16" t="str">
        <f>IF(electric_vehicles_spec_2025_csv[[#This Row],[acceleration_0_100_s]]&lt;4,"0–3.9 s",IF(electric_vehicles_spec_2025_csv[[#This Row],[acceleration_0_100_s]]&lt;6,"4.0–5.9 s",IF(electric_vehicles_spec_2025_csv[[#This Row],[acceleration_0_100_s]]&lt;8,"6.0–7.9 s","8.0+ s")))</f>
        <v>8.0+ s</v>
      </c>
      <c r="P314" s="16">
        <v>80</v>
      </c>
      <c r="Q314" s="16" t="str">
        <f>IF(electric_vehicles_spec_2025_csv[[#This Row],[fast_charging_power_kw_dc]]&lt;50,"0–49 kW",IF(electric_vehicles_spec_2025_csv[[#This Row],[fast_charging_power_kw_dc]]&lt;100,"50–99 kW",IF(electric_vehicles_spec_2025_csv[[#This Row],[fast_charging_power_kw_dc]]&lt;150,"100–149 kW","150+ kW")))</f>
        <v>50–99 kW</v>
      </c>
      <c r="R314" s="16" t="s">
        <v>25</v>
      </c>
      <c r="S314" s="16">
        <v>750</v>
      </c>
      <c r="T314" s="16" t="s">
        <v>243</v>
      </c>
      <c r="U314" s="16">
        <v>5</v>
      </c>
      <c r="V314" s="16" t="s">
        <v>27</v>
      </c>
      <c r="W314" s="16" t="s">
        <v>244</v>
      </c>
      <c r="X314" s="16">
        <v>4403</v>
      </c>
      <c r="Y314" s="16">
        <v>1921</v>
      </c>
      <c r="Z314" s="16">
        <v>1818</v>
      </c>
      <c r="AA314" s="16" t="s">
        <v>245</v>
      </c>
      <c r="AB314" s="16" t="s">
        <v>826</v>
      </c>
    </row>
    <row r="315" spans="1:28" x14ac:dyDescent="0.3">
      <c r="A315" s="16" t="s">
        <v>792</v>
      </c>
      <c r="B315" s="16" t="s">
        <v>827</v>
      </c>
      <c r="C315" s="16">
        <v>132</v>
      </c>
      <c r="D31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15" s="16">
        <v>50</v>
      </c>
      <c r="F315" s="16" t="str">
        <f>IF(electric_vehicles_spec_2025_csv[[#This Row],[battery_capacity_kWh]]&lt;=30, "0–30 kWh", IF(electric_vehicles_spec_2025_csv[[#This Row],[battery_capacity_kWh]]&lt;=60, "31–60 kWh", "61+ kWh"))</f>
        <v>31–60 kWh</v>
      </c>
      <c r="G315" s="16" t="s">
        <v>24</v>
      </c>
      <c r="H315" s="16"/>
      <c r="I315" s="16">
        <v>270</v>
      </c>
      <c r="J315" s="16">
        <v>153</v>
      </c>
      <c r="K315" s="16" t="str">
        <f t="shared" si="4"/>
        <v>131–160 Wh/km</v>
      </c>
      <c r="L315" s="16">
        <v>230</v>
      </c>
      <c r="M315" s="16" t="str">
        <f>IF(electric_vehicles_spec_2025_csv[[#This Row],[range_km]]&lt;=200, "0–200 km",IF(electric_vehicles_spec_2025_csv[[#This Row],[range_km]]&lt;=400, "201–400 km", "401+ km"))</f>
        <v>201–400 km</v>
      </c>
      <c r="N315" s="16">
        <v>11.7</v>
      </c>
      <c r="O315" s="16" t="str">
        <f>IF(electric_vehicles_spec_2025_csv[[#This Row],[acceleration_0_100_s]]&lt;4,"0–3.9 s",IF(electric_vehicles_spec_2025_csv[[#This Row],[acceleration_0_100_s]]&lt;6,"4.0–5.9 s",IF(electric_vehicles_spec_2025_csv[[#This Row],[acceleration_0_100_s]]&lt;8,"6.0–7.9 s","8.0+ s")))</f>
        <v>8.0+ s</v>
      </c>
      <c r="P315" s="16">
        <v>80</v>
      </c>
      <c r="Q315" s="16" t="str">
        <f>IF(electric_vehicles_spec_2025_csv[[#This Row],[fast_charging_power_kw_dc]]&lt;50,"0–49 kW",IF(electric_vehicles_spec_2025_csv[[#This Row],[fast_charging_power_kw_dc]]&lt;100,"50–99 kW",IF(electric_vehicles_spec_2025_csv[[#This Row],[fast_charging_power_kw_dc]]&lt;150,"100–149 kW","150+ kW")))</f>
        <v>50–99 kW</v>
      </c>
      <c r="R315" s="16" t="s">
        <v>25</v>
      </c>
      <c r="S315" s="16">
        <v>750</v>
      </c>
      <c r="T315" s="16" t="s">
        <v>248</v>
      </c>
      <c r="U315" s="16">
        <v>7</v>
      </c>
      <c r="V315" s="16" t="s">
        <v>27</v>
      </c>
      <c r="W315" s="16" t="s">
        <v>244</v>
      </c>
      <c r="X315" s="16">
        <v>4755</v>
      </c>
      <c r="Y315" s="16">
        <v>1921</v>
      </c>
      <c r="Z315" s="16">
        <v>1837</v>
      </c>
      <c r="AA315" s="16" t="s">
        <v>245</v>
      </c>
      <c r="AB315" s="16" t="s">
        <v>828</v>
      </c>
    </row>
    <row r="316" spans="1:28" x14ac:dyDescent="0.3">
      <c r="A316" s="16" t="s">
        <v>792</v>
      </c>
      <c r="B316" s="16" t="s">
        <v>829</v>
      </c>
      <c r="C316" s="16">
        <v>130</v>
      </c>
      <c r="D31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16" s="16">
        <v>46.3</v>
      </c>
      <c r="F316" s="16" t="str">
        <f>IF(electric_vehicles_spec_2025_csv[[#This Row],[battery_capacity_kWh]]&lt;=30, "0–30 kWh", IF(electric_vehicles_spec_2025_csv[[#This Row],[battery_capacity_kWh]]&lt;=60, "31–60 kWh", "61+ kWh"))</f>
        <v>31–60 kWh</v>
      </c>
      <c r="G316" s="16" t="s">
        <v>24</v>
      </c>
      <c r="H316" s="16">
        <v>216</v>
      </c>
      <c r="I316" s="16">
        <v>270</v>
      </c>
      <c r="J316" s="16">
        <v>217</v>
      </c>
      <c r="K316" s="16" t="str">
        <f t="shared" si="4"/>
        <v>161+ Wh/km</v>
      </c>
      <c r="L316" s="16">
        <v>180</v>
      </c>
      <c r="M316" s="16" t="str">
        <f>IF(electric_vehicles_spec_2025_csv[[#This Row],[range_km]]&lt;=200, "0–200 km",IF(electric_vehicles_spec_2025_csv[[#This Row],[range_km]]&lt;=400, "201–400 km", "401+ km"))</f>
        <v>0–200 km</v>
      </c>
      <c r="N316" s="16">
        <v>13.3</v>
      </c>
      <c r="O316" s="16" t="str">
        <f>IF(electric_vehicles_spec_2025_csv[[#This Row],[acceleration_0_100_s]]&lt;4,"0–3.9 s",IF(electric_vehicles_spec_2025_csv[[#This Row],[acceleration_0_100_s]]&lt;6,"4.0–5.9 s",IF(electric_vehicles_spec_2025_csv[[#This Row],[acceleration_0_100_s]]&lt;8,"6.0–7.9 s","8.0+ s")))</f>
        <v>8.0+ s</v>
      </c>
      <c r="P316" s="16">
        <v>78</v>
      </c>
      <c r="Q316" s="16" t="str">
        <f>IF(electric_vehicles_spec_2025_csv[[#This Row],[fast_charging_power_kw_dc]]&lt;50,"0–49 kW",IF(electric_vehicles_spec_2025_csv[[#This Row],[fast_charging_power_kw_dc]]&lt;100,"50–99 kW",IF(electric_vehicles_spec_2025_csv[[#This Row],[fast_charging_power_kw_dc]]&lt;150,"100–149 kW","150+ kW")))</f>
        <v>50–99 kW</v>
      </c>
      <c r="R316" s="16" t="s">
        <v>25</v>
      </c>
      <c r="S316" s="16">
        <v>1000</v>
      </c>
      <c r="T316" s="16" t="s">
        <v>267</v>
      </c>
      <c r="U316" s="16">
        <v>9</v>
      </c>
      <c r="V316" s="16" t="s">
        <v>27</v>
      </c>
      <c r="W316" s="16" t="s">
        <v>244</v>
      </c>
      <c r="X316" s="16">
        <v>4983</v>
      </c>
      <c r="Y316" s="16">
        <v>1920</v>
      </c>
      <c r="Z316" s="16">
        <v>1890</v>
      </c>
      <c r="AA316" s="16" t="s">
        <v>245</v>
      </c>
      <c r="AB316" s="16" t="s">
        <v>830</v>
      </c>
    </row>
    <row r="317" spans="1:28" x14ac:dyDescent="0.3">
      <c r="A317" s="16" t="s">
        <v>792</v>
      </c>
      <c r="B317" s="16" t="s">
        <v>831</v>
      </c>
      <c r="C317" s="16">
        <v>130</v>
      </c>
      <c r="D31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17" s="16">
        <v>68</v>
      </c>
      <c r="F317" s="16" t="str">
        <f>IF(electric_vehicles_spec_2025_csv[[#This Row],[battery_capacity_kWh]]&lt;=30, "0–30 kWh", IF(electric_vehicles_spec_2025_csv[[#This Row],[battery_capacity_kWh]]&lt;=60, "31–60 kWh", "61+ kWh"))</f>
        <v>61+ kWh</v>
      </c>
      <c r="G317" s="16" t="s">
        <v>24</v>
      </c>
      <c r="H317" s="16">
        <v>324</v>
      </c>
      <c r="I317" s="16">
        <v>270</v>
      </c>
      <c r="J317" s="16">
        <v>202</v>
      </c>
      <c r="K317" s="16" t="str">
        <f t="shared" si="4"/>
        <v>161+ Wh/km</v>
      </c>
      <c r="L317" s="16">
        <v>260</v>
      </c>
      <c r="M317" s="16" t="str">
        <f>IF(electric_vehicles_spec_2025_csv[[#This Row],[range_km]]&lt;=200, "0–200 km",IF(electric_vehicles_spec_2025_csv[[#This Row],[range_km]]&lt;=400, "201–400 km", "401+ km"))</f>
        <v>201–400 km</v>
      </c>
      <c r="N317" s="16">
        <v>14.2</v>
      </c>
      <c r="O317" s="16" t="str">
        <f>IF(electric_vehicles_spec_2025_csv[[#This Row],[acceleration_0_100_s]]&lt;4,"0–3.9 s",IF(electric_vehicles_spec_2025_csv[[#This Row],[acceleration_0_100_s]]&lt;6,"4.0–5.9 s",IF(electric_vehicles_spec_2025_csv[[#This Row],[acceleration_0_100_s]]&lt;8,"6.0–7.9 s","8.0+ s")))</f>
        <v>8.0+ s</v>
      </c>
      <c r="P317" s="16">
        <v>79</v>
      </c>
      <c r="Q317" s="16" t="str">
        <f>IF(electric_vehicles_spec_2025_csv[[#This Row],[fast_charging_power_kw_dc]]&lt;50,"0–49 kW",IF(electric_vehicles_spec_2025_csv[[#This Row],[fast_charging_power_kw_dc]]&lt;100,"50–99 kW",IF(electric_vehicles_spec_2025_csv[[#This Row],[fast_charging_power_kw_dc]]&lt;150,"100–149 kW","150+ kW")))</f>
        <v>50–99 kW</v>
      </c>
      <c r="R317" s="16" t="s">
        <v>25</v>
      </c>
      <c r="S317" s="16">
        <v>1000</v>
      </c>
      <c r="T317" s="16" t="s">
        <v>267</v>
      </c>
      <c r="U317" s="16">
        <v>9</v>
      </c>
      <c r="V317" s="16" t="s">
        <v>27</v>
      </c>
      <c r="W317" s="16" t="s">
        <v>244</v>
      </c>
      <c r="X317" s="16">
        <v>4983</v>
      </c>
      <c r="Y317" s="16">
        <v>1920</v>
      </c>
      <c r="Z317" s="16">
        <v>1890</v>
      </c>
      <c r="AA317" s="16" t="s">
        <v>245</v>
      </c>
      <c r="AB317" s="16" t="s">
        <v>832</v>
      </c>
    </row>
    <row r="318" spans="1:28" x14ac:dyDescent="0.3">
      <c r="A318" s="16" t="s">
        <v>792</v>
      </c>
      <c r="B318" s="16" t="s">
        <v>833</v>
      </c>
      <c r="C318" s="16">
        <v>130</v>
      </c>
      <c r="D31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18" s="16">
        <v>46.3</v>
      </c>
      <c r="F318" s="16" t="str">
        <f>IF(electric_vehicles_spec_2025_csv[[#This Row],[battery_capacity_kWh]]&lt;=30, "0–30 kWh", IF(electric_vehicles_spec_2025_csv[[#This Row],[battery_capacity_kWh]]&lt;=60, "31–60 kWh", "61+ kWh"))</f>
        <v>31–60 kWh</v>
      </c>
      <c r="G318" s="16" t="s">
        <v>24</v>
      </c>
      <c r="H318" s="16">
        <v>216</v>
      </c>
      <c r="I318" s="16">
        <v>270</v>
      </c>
      <c r="J318" s="16">
        <v>219</v>
      </c>
      <c r="K318" s="16" t="str">
        <f t="shared" si="4"/>
        <v>161+ Wh/km</v>
      </c>
      <c r="L318" s="16">
        <v>180</v>
      </c>
      <c r="M318" s="16" t="str">
        <f>IF(electric_vehicles_spec_2025_csv[[#This Row],[range_km]]&lt;=200, "0–200 km",IF(electric_vehicles_spec_2025_csv[[#This Row],[range_km]]&lt;=400, "201–400 km", "401+ km"))</f>
        <v>0–200 km</v>
      </c>
      <c r="N318" s="16">
        <v>13.3</v>
      </c>
      <c r="O318" s="16" t="str">
        <f>IF(electric_vehicles_spec_2025_csv[[#This Row],[acceleration_0_100_s]]&lt;4,"0–3.9 s",IF(electric_vehicles_spec_2025_csv[[#This Row],[acceleration_0_100_s]]&lt;6,"4.0–5.9 s",IF(electric_vehicles_spec_2025_csv[[#This Row],[acceleration_0_100_s]]&lt;8,"6.0–7.9 s","8.0+ s")))</f>
        <v>8.0+ s</v>
      </c>
      <c r="P318" s="16">
        <v>78</v>
      </c>
      <c r="Q318" s="16" t="str">
        <f>IF(electric_vehicles_spec_2025_csv[[#This Row],[fast_charging_power_kw_dc]]&lt;50,"0–49 kW",IF(electric_vehicles_spec_2025_csv[[#This Row],[fast_charging_power_kw_dc]]&lt;100,"50–99 kW",IF(electric_vehicles_spec_2025_csv[[#This Row],[fast_charging_power_kw_dc]]&lt;150,"100–149 kW","150+ kW")))</f>
        <v>50–99 kW</v>
      </c>
      <c r="R318" s="16" t="s">
        <v>25</v>
      </c>
      <c r="S318" s="16">
        <v>1000</v>
      </c>
      <c r="T318" s="16" t="s">
        <v>272</v>
      </c>
      <c r="U318" s="16">
        <v>9</v>
      </c>
      <c r="V318" s="16" t="s">
        <v>27</v>
      </c>
      <c r="W318" s="16" t="s">
        <v>244</v>
      </c>
      <c r="X318" s="16">
        <v>5333</v>
      </c>
      <c r="Y318" s="16">
        <v>1920</v>
      </c>
      <c r="Z318" s="16">
        <v>1890</v>
      </c>
      <c r="AA318" s="16" t="s">
        <v>245</v>
      </c>
      <c r="AB318" s="16" t="s">
        <v>834</v>
      </c>
    </row>
    <row r="319" spans="1:28" x14ac:dyDescent="0.3">
      <c r="A319" s="16" t="s">
        <v>792</v>
      </c>
      <c r="B319" s="16" t="s">
        <v>835</v>
      </c>
      <c r="C319" s="16">
        <v>130</v>
      </c>
      <c r="D31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19" s="16">
        <v>68</v>
      </c>
      <c r="F319" s="16" t="str">
        <f>IF(electric_vehicles_spec_2025_csv[[#This Row],[battery_capacity_kWh]]&lt;=30, "0–30 kWh", IF(electric_vehicles_spec_2025_csv[[#This Row],[battery_capacity_kWh]]&lt;=60, "31–60 kWh", "61+ kWh"))</f>
        <v>61+ kWh</v>
      </c>
      <c r="G319" s="16" t="s">
        <v>24</v>
      </c>
      <c r="H319" s="16">
        <v>324</v>
      </c>
      <c r="I319" s="16">
        <v>270</v>
      </c>
      <c r="J319" s="16">
        <v>204</v>
      </c>
      <c r="K319" s="16" t="str">
        <f t="shared" si="4"/>
        <v>161+ Wh/km</v>
      </c>
      <c r="L319" s="16">
        <v>260</v>
      </c>
      <c r="M319" s="16" t="str">
        <f>IF(electric_vehicles_spec_2025_csv[[#This Row],[range_km]]&lt;=200, "0–200 km",IF(electric_vehicles_spec_2025_csv[[#This Row],[range_km]]&lt;=400, "201–400 km", "401+ km"))</f>
        <v>201–400 km</v>
      </c>
      <c r="N319" s="16">
        <v>14.2</v>
      </c>
      <c r="O319" s="16" t="str">
        <f>IF(electric_vehicles_spec_2025_csv[[#This Row],[acceleration_0_100_s]]&lt;4,"0–3.9 s",IF(electric_vehicles_spec_2025_csv[[#This Row],[acceleration_0_100_s]]&lt;6,"4.0–5.9 s",IF(electric_vehicles_spec_2025_csv[[#This Row],[acceleration_0_100_s]]&lt;8,"6.0–7.9 s","8.0+ s")))</f>
        <v>8.0+ s</v>
      </c>
      <c r="P319" s="16">
        <v>79</v>
      </c>
      <c r="Q319" s="16" t="str">
        <f>IF(electric_vehicles_spec_2025_csv[[#This Row],[fast_charging_power_kw_dc]]&lt;50,"0–49 kW",IF(electric_vehicles_spec_2025_csv[[#This Row],[fast_charging_power_kw_dc]]&lt;100,"50–99 kW",IF(electric_vehicles_spec_2025_csv[[#This Row],[fast_charging_power_kw_dc]]&lt;150,"100–149 kW","150+ kW")))</f>
        <v>50–99 kW</v>
      </c>
      <c r="R319" s="16" t="s">
        <v>25</v>
      </c>
      <c r="S319" s="16">
        <v>1000</v>
      </c>
      <c r="T319" s="16" t="s">
        <v>272</v>
      </c>
      <c r="U319" s="16">
        <v>9</v>
      </c>
      <c r="V319" s="16" t="s">
        <v>27</v>
      </c>
      <c r="W319" s="16" t="s">
        <v>244</v>
      </c>
      <c r="X319" s="16">
        <v>5333</v>
      </c>
      <c r="Y319" s="16">
        <v>1920</v>
      </c>
      <c r="Z319" s="16">
        <v>1890</v>
      </c>
      <c r="AA319" s="16" t="s">
        <v>245</v>
      </c>
      <c r="AB319" s="16" t="s">
        <v>836</v>
      </c>
    </row>
    <row r="320" spans="1:28" x14ac:dyDescent="0.3">
      <c r="A320" s="16" t="s">
        <v>837</v>
      </c>
      <c r="B320" s="16" t="s">
        <v>838</v>
      </c>
      <c r="C320" s="16">
        <v>205</v>
      </c>
      <c r="D32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0" s="16">
        <v>79</v>
      </c>
      <c r="F320" s="16" t="str">
        <f>IF(electric_vehicles_spec_2025_csv[[#This Row],[battery_capacity_kWh]]&lt;=30, "0–30 kWh", IF(electric_vehicles_spec_2025_csv[[#This Row],[battery_capacity_kWh]]&lt;=60, "31–60 kWh", "61+ kWh"))</f>
        <v>61+ kWh</v>
      </c>
      <c r="G320" s="16" t="s">
        <v>24</v>
      </c>
      <c r="H320" s="16">
        <v>324</v>
      </c>
      <c r="I320" s="16">
        <v>740</v>
      </c>
      <c r="J320" s="16">
        <v>142</v>
      </c>
      <c r="K320" s="16" t="str">
        <f t="shared" si="4"/>
        <v>131–160 Wh/km</v>
      </c>
      <c r="L320" s="16">
        <v>455</v>
      </c>
      <c r="M320" s="16" t="str">
        <f>IF(electric_vehicles_spec_2025_csv[[#This Row],[range_km]]&lt;=200, "0–200 km",IF(electric_vehicles_spec_2025_csv[[#This Row],[range_km]]&lt;=400, "201–400 km", "401+ km"))</f>
        <v>401+ km</v>
      </c>
      <c r="N320" s="16">
        <v>4.5</v>
      </c>
      <c r="O320" s="16" t="str">
        <f>IF(electric_vehicles_spec_2025_csv[[#This Row],[acceleration_0_100_s]]&lt;4,"0–3.9 s",IF(electric_vehicles_spec_2025_csv[[#This Row],[acceleration_0_100_s]]&lt;6,"4.0–5.9 s",IF(electric_vehicles_spec_2025_csv[[#This Row],[acceleration_0_100_s]]&lt;8,"6.0–7.9 s","8.0+ s")))</f>
        <v>4.0–5.9 s</v>
      </c>
      <c r="P320" s="16">
        <v>125</v>
      </c>
      <c r="Q320" s="16" t="str">
        <f>IF(electric_vehicles_spec_2025_csv[[#This Row],[fast_charging_power_kw_dc]]&lt;50,"0–49 kW",IF(electric_vehicles_spec_2025_csv[[#This Row],[fast_charging_power_kw_dc]]&lt;100,"50–99 kW",IF(electric_vehicles_spec_2025_csv[[#This Row],[fast_charging_power_kw_dc]]&lt;150,"100–149 kW","150+ kW")))</f>
        <v>100–149 kW</v>
      </c>
      <c r="R320" s="16" t="s">
        <v>25</v>
      </c>
      <c r="S320" s="16">
        <v>1500</v>
      </c>
      <c r="T320" s="16" t="s">
        <v>839</v>
      </c>
      <c r="U320" s="16">
        <v>5</v>
      </c>
      <c r="V320" s="16" t="s">
        <v>70</v>
      </c>
      <c r="W320" s="16" t="s">
        <v>137</v>
      </c>
      <c r="X320" s="16">
        <v>4606</v>
      </c>
      <c r="Y320" s="16">
        <v>1859</v>
      </c>
      <c r="Z320" s="16">
        <v>1479</v>
      </c>
      <c r="AA320" s="16" t="s">
        <v>73</v>
      </c>
      <c r="AB320" s="16" t="s">
        <v>840</v>
      </c>
    </row>
    <row r="321" spans="1:28" x14ac:dyDescent="0.3">
      <c r="A321" s="16" t="s">
        <v>837</v>
      </c>
      <c r="B321" s="16" t="s">
        <v>841</v>
      </c>
      <c r="C321" s="16">
        <v>205</v>
      </c>
      <c r="D32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1" s="16">
        <v>79</v>
      </c>
      <c r="F321" s="16" t="str">
        <f>IF(electric_vehicles_spec_2025_csv[[#This Row],[battery_capacity_kWh]]&lt;=30, "0–30 kWh", IF(electric_vehicles_spec_2025_csv[[#This Row],[battery_capacity_kWh]]&lt;=60, "31–60 kWh", "61+ kWh"))</f>
        <v>61+ kWh</v>
      </c>
      <c r="G321" s="16" t="s">
        <v>24</v>
      </c>
      <c r="H321" s="16">
        <v>324</v>
      </c>
      <c r="I321" s="16">
        <v>740</v>
      </c>
      <c r="J321" s="16">
        <v>142</v>
      </c>
      <c r="K321" s="16" t="str">
        <f t="shared" si="4"/>
        <v>131–160 Wh/km</v>
      </c>
      <c r="L321" s="16">
        <v>450</v>
      </c>
      <c r="M321" s="16" t="str">
        <f>IF(electric_vehicles_spec_2025_csv[[#This Row],[range_km]]&lt;=200, "0–200 km",IF(electric_vehicles_spec_2025_csv[[#This Row],[range_km]]&lt;=400, "201–400 km", "401+ km"))</f>
        <v>401+ km</v>
      </c>
      <c r="N321" s="16">
        <v>4.2</v>
      </c>
      <c r="O321" s="16" t="str">
        <f>IF(electric_vehicles_spec_2025_csv[[#This Row],[acceleration_0_100_s]]&lt;4,"0–3.9 s",IF(electric_vehicles_spec_2025_csv[[#This Row],[acceleration_0_100_s]]&lt;6,"4.0–5.9 s",IF(electric_vehicles_spec_2025_csv[[#This Row],[acceleration_0_100_s]]&lt;8,"6.0–7.9 s","8.0+ s")))</f>
        <v>4.0–5.9 s</v>
      </c>
      <c r="P321" s="16">
        <v>125</v>
      </c>
      <c r="Q321" s="16" t="str">
        <f>IF(electric_vehicles_spec_2025_csv[[#This Row],[fast_charging_power_kw_dc]]&lt;50,"0–49 kW",IF(electric_vehicles_spec_2025_csv[[#This Row],[fast_charging_power_kw_dc]]&lt;100,"50–99 kW",IF(electric_vehicles_spec_2025_csv[[#This Row],[fast_charging_power_kw_dc]]&lt;150,"100–149 kW","150+ kW")))</f>
        <v>100–149 kW</v>
      </c>
      <c r="R321" s="16" t="s">
        <v>25</v>
      </c>
      <c r="S321" s="16">
        <v>1500</v>
      </c>
      <c r="T321" s="16" t="s">
        <v>839</v>
      </c>
      <c r="U321" s="16">
        <v>5</v>
      </c>
      <c r="V321" s="16" t="s">
        <v>70</v>
      </c>
      <c r="W321" s="16" t="s">
        <v>137</v>
      </c>
      <c r="X321" s="16">
        <v>4606</v>
      </c>
      <c r="Y321" s="16">
        <v>1859</v>
      </c>
      <c r="Z321" s="16">
        <v>1473</v>
      </c>
      <c r="AA321" s="16" t="s">
        <v>73</v>
      </c>
      <c r="AB321" s="16" t="s">
        <v>842</v>
      </c>
    </row>
    <row r="322" spans="1:28" x14ac:dyDescent="0.3">
      <c r="A322" s="16" t="s">
        <v>837</v>
      </c>
      <c r="B322" s="16" t="s">
        <v>843</v>
      </c>
      <c r="C322" s="16">
        <v>205</v>
      </c>
      <c r="D32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2" s="16">
        <v>79</v>
      </c>
      <c r="F322" s="16" t="str">
        <f>IF(electric_vehicles_spec_2025_csv[[#This Row],[battery_capacity_kWh]]&lt;=30, "0–30 kWh", IF(electric_vehicles_spec_2025_csv[[#This Row],[battery_capacity_kWh]]&lt;=60, "31–60 kWh", "61+ kWh"))</f>
        <v>61+ kWh</v>
      </c>
      <c r="G322" s="16" t="s">
        <v>24</v>
      </c>
      <c r="H322" s="16">
        <v>324</v>
      </c>
      <c r="I322" s="16">
        <v>490</v>
      </c>
      <c r="J322" s="16">
        <v>130</v>
      </c>
      <c r="K322" s="16" t="str">
        <f t="shared" ref="K322:K385" si="5">IF(J322&lt;=130,"0–130 Wh/km",IF(J322&lt;=160,"131–160 Wh/km","161+ Wh/km"))</f>
        <v>0–130 Wh/km</v>
      </c>
      <c r="L322" s="16">
        <v>475</v>
      </c>
      <c r="M322" s="16" t="str">
        <f>IF(electric_vehicles_spec_2025_csv[[#This Row],[range_km]]&lt;=200, "0–200 km",IF(electric_vehicles_spec_2025_csv[[#This Row],[range_km]]&lt;=400, "201–400 km", "401+ km"))</f>
        <v>401+ km</v>
      </c>
      <c r="N322" s="16">
        <v>6.2</v>
      </c>
      <c r="O322" s="16" t="str">
        <f>IF(electric_vehicles_spec_2025_csv[[#This Row],[acceleration_0_100_s]]&lt;4,"0–3.9 s",IF(electric_vehicles_spec_2025_csv[[#This Row],[acceleration_0_100_s]]&lt;6,"4.0–5.9 s",IF(electric_vehicles_spec_2025_csv[[#This Row],[acceleration_0_100_s]]&lt;8,"6.0–7.9 s","8.0+ s")))</f>
        <v>6.0–7.9 s</v>
      </c>
      <c r="P322" s="16">
        <v>125</v>
      </c>
      <c r="Q322" s="16" t="str">
        <f>IF(electric_vehicles_spec_2025_csv[[#This Row],[fast_charging_power_kw_dc]]&lt;50,"0–49 kW",IF(electric_vehicles_spec_2025_csv[[#This Row],[fast_charging_power_kw_dc]]&lt;100,"50–99 kW",IF(electric_vehicles_spec_2025_csv[[#This Row],[fast_charging_power_kw_dc]]&lt;150,"100–149 kW","150+ kW")))</f>
        <v>100–149 kW</v>
      </c>
      <c r="R322" s="16" t="s">
        <v>25</v>
      </c>
      <c r="S322" s="16">
        <v>1500</v>
      </c>
      <c r="T322" s="16" t="s">
        <v>839</v>
      </c>
      <c r="U322" s="16">
        <v>5</v>
      </c>
      <c r="V322" s="16" t="s">
        <v>63</v>
      </c>
      <c r="W322" s="16" t="s">
        <v>137</v>
      </c>
      <c r="X322" s="16">
        <v>4606</v>
      </c>
      <c r="Y322" s="16">
        <v>1859</v>
      </c>
      <c r="Z322" s="16">
        <v>1479</v>
      </c>
      <c r="AA322" s="16" t="s">
        <v>73</v>
      </c>
      <c r="AB322" s="16" t="s">
        <v>844</v>
      </c>
    </row>
    <row r="323" spans="1:28" x14ac:dyDescent="0.3">
      <c r="A323" s="16" t="s">
        <v>837</v>
      </c>
      <c r="B323" s="16" t="s">
        <v>845</v>
      </c>
      <c r="C323" s="16">
        <v>205</v>
      </c>
      <c r="D32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3" s="16">
        <v>67</v>
      </c>
      <c r="F323" s="16" t="str">
        <f>IF(electric_vehicles_spec_2025_csv[[#This Row],[battery_capacity_kWh]]&lt;=30, "0–30 kWh", IF(electric_vehicles_spec_2025_csv[[#This Row],[battery_capacity_kWh]]&lt;=60, "31–60 kWh", "61+ kWh"))</f>
        <v>61+ kWh</v>
      </c>
      <c r="G323" s="16" t="s">
        <v>24</v>
      </c>
      <c r="H323" s="16"/>
      <c r="I323" s="16">
        <v>490</v>
      </c>
      <c r="J323" s="16">
        <v>129</v>
      </c>
      <c r="K323" s="16" t="str">
        <f t="shared" si="5"/>
        <v>0–130 Wh/km</v>
      </c>
      <c r="L323" s="16">
        <v>405</v>
      </c>
      <c r="M323" s="16" t="str">
        <f>IF(electric_vehicles_spec_2025_csv[[#This Row],[range_km]]&lt;=200, "0–200 km",IF(electric_vehicles_spec_2025_csv[[#This Row],[range_km]]&lt;=400, "201–400 km", "401+ km"))</f>
        <v>401+ km</v>
      </c>
      <c r="N323" s="16">
        <v>6.4</v>
      </c>
      <c r="O323" s="16" t="str">
        <f>IF(electric_vehicles_spec_2025_csv[[#This Row],[acceleration_0_100_s]]&lt;4,"0–3.9 s",IF(electric_vehicles_spec_2025_csv[[#This Row],[acceleration_0_100_s]]&lt;6,"4.0–5.9 s",IF(electric_vehicles_spec_2025_csv[[#This Row],[acceleration_0_100_s]]&lt;8,"6.0–7.9 s","8.0+ s")))</f>
        <v>6.0–7.9 s</v>
      </c>
      <c r="P323" s="16">
        <v>110</v>
      </c>
      <c r="Q323" s="16" t="str">
        <f>IF(electric_vehicles_spec_2025_csv[[#This Row],[fast_charging_power_kw_dc]]&lt;50,"0–49 kW",IF(electric_vehicles_spec_2025_csv[[#This Row],[fast_charging_power_kw_dc]]&lt;100,"50–99 kW",IF(electric_vehicles_spec_2025_csv[[#This Row],[fast_charging_power_kw_dc]]&lt;150,"100–149 kW","150+ kW")))</f>
        <v>100–149 kW</v>
      </c>
      <c r="R323" s="16" t="s">
        <v>25</v>
      </c>
      <c r="S323" s="16">
        <v>1500</v>
      </c>
      <c r="T323" s="16" t="s">
        <v>839</v>
      </c>
      <c r="U323" s="16">
        <v>5</v>
      </c>
      <c r="V323" s="16" t="s">
        <v>63</v>
      </c>
      <c r="W323" s="16" t="s">
        <v>137</v>
      </c>
      <c r="X323" s="16">
        <v>4606</v>
      </c>
      <c r="Y323" s="16">
        <v>1859</v>
      </c>
      <c r="Z323" s="16">
        <v>1479</v>
      </c>
      <c r="AA323" s="16" t="s">
        <v>73</v>
      </c>
      <c r="AB323" s="16" t="s">
        <v>846</v>
      </c>
    </row>
    <row r="324" spans="1:28" x14ac:dyDescent="0.3">
      <c r="A324" s="16" t="s">
        <v>837</v>
      </c>
      <c r="B324" s="16" t="s">
        <v>847</v>
      </c>
      <c r="C324" s="16">
        <v>210</v>
      </c>
      <c r="D32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4" s="16">
        <v>107</v>
      </c>
      <c r="F324" s="16" t="str">
        <f>IF(electric_vehicles_spec_2025_csv[[#This Row],[battery_capacity_kWh]]&lt;=30, "0–30 kWh", IF(electric_vehicles_spec_2025_csv[[#This Row],[battery_capacity_kWh]]&lt;=60, "31–60 kWh", "61+ kWh"))</f>
        <v>61+ kWh</v>
      </c>
      <c r="G324" s="16" t="s">
        <v>24</v>
      </c>
      <c r="H324" s="16">
        <v>204</v>
      </c>
      <c r="I324" s="16">
        <v>840</v>
      </c>
      <c r="J324" s="16">
        <v>183</v>
      </c>
      <c r="K324" s="16" t="str">
        <f t="shared" si="5"/>
        <v>161+ Wh/km</v>
      </c>
      <c r="L324" s="16">
        <v>515</v>
      </c>
      <c r="M324" s="16" t="str">
        <f>IF(electric_vehicles_spec_2025_csv[[#This Row],[range_km]]&lt;=200, "0–200 km",IF(electric_vehicles_spec_2025_csv[[#This Row],[range_km]]&lt;=400, "201–400 km", "401+ km"))</f>
        <v>401+ km</v>
      </c>
      <c r="N324" s="16">
        <v>5</v>
      </c>
      <c r="O324" s="16" t="str">
        <f>IF(electric_vehicles_spec_2025_csv[[#This Row],[acceleration_0_100_s]]&lt;4,"0–3.9 s",IF(electric_vehicles_spec_2025_csv[[#This Row],[acceleration_0_100_s]]&lt;6,"4.0–5.9 s",IF(electric_vehicles_spec_2025_csv[[#This Row],[acceleration_0_100_s]]&lt;8,"6.0–7.9 s","8.0+ s")))</f>
        <v>4.0–5.9 s</v>
      </c>
      <c r="P324" s="16">
        <v>150</v>
      </c>
      <c r="Q324" s="16" t="str">
        <f>IF(electric_vehicles_spec_2025_csv[[#This Row],[fast_charging_power_kw_dc]]&lt;50,"0–49 kW",IF(electric_vehicles_spec_2025_csv[[#This Row],[fast_charging_power_kw_dc]]&lt;100,"50–99 kW",IF(electric_vehicles_spec_2025_csv[[#This Row],[fast_charging_power_kw_dc]]&lt;150,"100–149 kW","150+ kW")))</f>
        <v>150+ kW</v>
      </c>
      <c r="R324" s="16" t="s">
        <v>25</v>
      </c>
      <c r="S324" s="16">
        <v>2200</v>
      </c>
      <c r="T324" s="16" t="s">
        <v>848</v>
      </c>
      <c r="U324" s="16">
        <v>5</v>
      </c>
      <c r="V324" s="16" t="s">
        <v>70</v>
      </c>
      <c r="W324" s="16" t="s">
        <v>64</v>
      </c>
      <c r="X324" s="16">
        <v>4900</v>
      </c>
      <c r="Y324" s="16">
        <v>1968</v>
      </c>
      <c r="Z324" s="16">
        <v>1614</v>
      </c>
      <c r="AA324" s="16" t="s">
        <v>36</v>
      </c>
      <c r="AB324" s="16" t="s">
        <v>849</v>
      </c>
    </row>
    <row r="325" spans="1:28" x14ac:dyDescent="0.3">
      <c r="A325" s="16" t="s">
        <v>837</v>
      </c>
      <c r="B325" s="16" t="s">
        <v>850</v>
      </c>
      <c r="C325" s="16">
        <v>210</v>
      </c>
      <c r="D32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5" s="16">
        <v>107</v>
      </c>
      <c r="F325" s="16" t="str">
        <f>IF(electric_vehicles_spec_2025_csv[[#This Row],[battery_capacity_kWh]]&lt;=30, "0–30 kWh", IF(electric_vehicles_spec_2025_csv[[#This Row],[battery_capacity_kWh]]&lt;=60, "31–60 kWh", "61+ kWh"))</f>
        <v>61+ kWh</v>
      </c>
      <c r="G325" s="16" t="s">
        <v>24</v>
      </c>
      <c r="H325" s="16">
        <v>204</v>
      </c>
      <c r="I325" s="16">
        <v>910</v>
      </c>
      <c r="J325" s="16">
        <v>194</v>
      </c>
      <c r="K325" s="16" t="str">
        <f t="shared" si="5"/>
        <v>161+ Wh/km</v>
      </c>
      <c r="L325" s="16">
        <v>495</v>
      </c>
      <c r="M325" s="16" t="str">
        <f>IF(electric_vehicles_spec_2025_csv[[#This Row],[range_km]]&lt;=200, "0–200 km",IF(electric_vehicles_spec_2025_csv[[#This Row],[range_km]]&lt;=400, "201–400 km", "401+ km"))</f>
        <v>401+ km</v>
      </c>
      <c r="N325" s="16">
        <v>4.7</v>
      </c>
      <c r="O325" s="16" t="str">
        <f>IF(electric_vehicles_spec_2025_csv[[#This Row],[acceleration_0_100_s]]&lt;4,"0–3.9 s",IF(electric_vehicles_spec_2025_csv[[#This Row],[acceleration_0_100_s]]&lt;6,"4.0–5.9 s",IF(electric_vehicles_spec_2025_csv[[#This Row],[acceleration_0_100_s]]&lt;8,"6.0–7.9 s","8.0+ s")))</f>
        <v>4.0–5.9 s</v>
      </c>
      <c r="P325" s="16">
        <v>150</v>
      </c>
      <c r="Q325" s="16" t="str">
        <f>IF(electric_vehicles_spec_2025_csv[[#This Row],[fast_charging_power_kw_dc]]&lt;50,"0–49 kW",IF(electric_vehicles_spec_2025_csv[[#This Row],[fast_charging_power_kw_dc]]&lt;100,"50–99 kW",IF(electric_vehicles_spec_2025_csv[[#This Row],[fast_charging_power_kw_dc]]&lt;150,"100–149 kW","150+ kW")))</f>
        <v>150+ kW</v>
      </c>
      <c r="R325" s="16" t="s">
        <v>25</v>
      </c>
      <c r="S325" s="16">
        <v>2200</v>
      </c>
      <c r="T325" s="16" t="s">
        <v>848</v>
      </c>
      <c r="U325" s="16">
        <v>5</v>
      </c>
      <c r="V325" s="16" t="s">
        <v>70</v>
      </c>
      <c r="W325" s="16" t="s">
        <v>64</v>
      </c>
      <c r="X325" s="16">
        <v>4900</v>
      </c>
      <c r="Y325" s="16">
        <v>1968</v>
      </c>
      <c r="Z325" s="16">
        <v>1614</v>
      </c>
      <c r="AA325" s="16" t="s">
        <v>36</v>
      </c>
      <c r="AB325" s="16" t="s">
        <v>851</v>
      </c>
    </row>
    <row r="326" spans="1:28" x14ac:dyDescent="0.3">
      <c r="A326" s="16" t="s">
        <v>837</v>
      </c>
      <c r="B326" s="16" t="s">
        <v>852</v>
      </c>
      <c r="C326" s="16">
        <v>180</v>
      </c>
      <c r="D32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26" s="16">
        <v>107</v>
      </c>
      <c r="F326" s="16" t="str">
        <f>IF(electric_vehicles_spec_2025_csv[[#This Row],[battery_capacity_kWh]]&lt;=30, "0–30 kWh", IF(electric_vehicles_spec_2025_csv[[#This Row],[battery_capacity_kWh]]&lt;=60, "31–60 kWh", "61+ kWh"))</f>
        <v>61+ kWh</v>
      </c>
      <c r="G326" s="16" t="s">
        <v>24</v>
      </c>
      <c r="H326" s="16">
        <v>204</v>
      </c>
      <c r="I326" s="16">
        <v>490</v>
      </c>
      <c r="J326" s="16">
        <v>166</v>
      </c>
      <c r="K326" s="16" t="str">
        <f t="shared" si="5"/>
        <v>161+ Wh/km</v>
      </c>
      <c r="L326" s="16">
        <v>530</v>
      </c>
      <c r="M326" s="16" t="str">
        <f>IF(electric_vehicles_spec_2025_csv[[#This Row],[range_km]]&lt;=200, "0–200 km",IF(electric_vehicles_spec_2025_csv[[#This Row],[range_km]]&lt;=400, "201–400 km", "401+ km"))</f>
        <v>401+ km</v>
      </c>
      <c r="N326" s="16">
        <v>7.8</v>
      </c>
      <c r="O326" s="16" t="str">
        <f>IF(electric_vehicles_spec_2025_csv[[#This Row],[acceleration_0_100_s]]&lt;4,"0–3.9 s",IF(electric_vehicles_spec_2025_csv[[#This Row],[acceleration_0_100_s]]&lt;6,"4.0–5.9 s",IF(electric_vehicles_spec_2025_csv[[#This Row],[acceleration_0_100_s]]&lt;8,"6.0–7.9 s","8.0+ s")))</f>
        <v>6.0–7.9 s</v>
      </c>
      <c r="P326" s="16">
        <v>150</v>
      </c>
      <c r="Q326" s="16" t="str">
        <f>IF(electric_vehicles_spec_2025_csv[[#This Row],[fast_charging_power_kw_dc]]&lt;50,"0–49 kW",IF(electric_vehicles_spec_2025_csv[[#This Row],[fast_charging_power_kw_dc]]&lt;100,"50–99 kW",IF(electric_vehicles_spec_2025_csv[[#This Row],[fast_charging_power_kw_dc]]&lt;150,"100–149 kW","150+ kW")))</f>
        <v>150+ kW</v>
      </c>
      <c r="R326" s="16" t="s">
        <v>25</v>
      </c>
      <c r="S326" s="16">
        <v>1500</v>
      </c>
      <c r="T326" s="16" t="s">
        <v>848</v>
      </c>
      <c r="U326" s="16">
        <v>5</v>
      </c>
      <c r="V326" s="16" t="s">
        <v>63</v>
      </c>
      <c r="W326" s="16" t="s">
        <v>64</v>
      </c>
      <c r="X326" s="16">
        <v>4900</v>
      </c>
      <c r="Y326" s="16">
        <v>1968</v>
      </c>
      <c r="Z326" s="16">
        <v>1614</v>
      </c>
      <c r="AA326" s="16" t="s">
        <v>36</v>
      </c>
      <c r="AB326" s="16" t="s">
        <v>853</v>
      </c>
    </row>
    <row r="327" spans="1:28" x14ac:dyDescent="0.3">
      <c r="A327" s="16" t="s">
        <v>837</v>
      </c>
      <c r="B327" s="16" t="s">
        <v>854</v>
      </c>
      <c r="C327" s="16">
        <v>200</v>
      </c>
      <c r="D32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7" s="16">
        <v>94</v>
      </c>
      <c r="F327" s="16" t="str">
        <f>IF(electric_vehicles_spec_2025_csv[[#This Row],[battery_capacity_kWh]]&lt;=30, "0–30 kWh", IF(electric_vehicles_spec_2025_csv[[#This Row],[battery_capacity_kWh]]&lt;=60, "31–60 kWh", "61+ kWh"))</f>
        <v>61+ kWh</v>
      </c>
      <c r="G327" s="16" t="s">
        <v>24</v>
      </c>
      <c r="H327" s="16">
        <v>110</v>
      </c>
      <c r="I327" s="16">
        <v>686</v>
      </c>
      <c r="J327" s="16">
        <v>165</v>
      </c>
      <c r="K327" s="16" t="str">
        <f t="shared" si="5"/>
        <v>161+ Wh/km</v>
      </c>
      <c r="L327" s="16">
        <v>485</v>
      </c>
      <c r="M327" s="16" t="str">
        <f>IF(electric_vehicles_spec_2025_csv[[#This Row],[range_km]]&lt;=200, "0–200 km",IF(electric_vehicles_spec_2025_csv[[#This Row],[range_km]]&lt;=400, "201–400 km", "401+ km"))</f>
        <v>401+ km</v>
      </c>
      <c r="N327" s="16">
        <v>3.8</v>
      </c>
      <c r="O327" s="16" t="str">
        <f>IF(electric_vehicles_spec_2025_csv[[#This Row],[acceleration_0_100_s]]&lt;4,"0–3.9 s",IF(electric_vehicles_spec_2025_csv[[#This Row],[acceleration_0_100_s]]&lt;6,"4.0–5.9 s",IF(electric_vehicles_spec_2025_csv[[#This Row],[acceleration_0_100_s]]&lt;8,"6.0–7.9 s","8.0+ s")))</f>
        <v>0–3.9 s</v>
      </c>
      <c r="P327" s="16">
        <v>135</v>
      </c>
      <c r="Q327" s="16" t="str">
        <f>IF(electric_vehicles_spec_2025_csv[[#This Row],[fast_charging_power_kw_dc]]&lt;50,"0–49 kW",IF(electric_vehicles_spec_2025_csv[[#This Row],[fast_charging_power_kw_dc]]&lt;100,"50–99 kW",IF(electric_vehicles_spec_2025_csv[[#This Row],[fast_charging_power_kw_dc]]&lt;150,"100–149 kW","150+ kW")))</f>
        <v>100–149 kW</v>
      </c>
      <c r="R327" s="16" t="s">
        <v>25</v>
      </c>
      <c r="S327" s="16">
        <v>2000</v>
      </c>
      <c r="T327" s="16" t="s">
        <v>98</v>
      </c>
      <c r="U327" s="16">
        <v>5</v>
      </c>
      <c r="V327" s="16" t="s">
        <v>70</v>
      </c>
      <c r="W327" s="16" t="s">
        <v>147</v>
      </c>
      <c r="X327" s="16">
        <v>4839</v>
      </c>
      <c r="Y327" s="16">
        <v>2008</v>
      </c>
      <c r="Z327" s="16">
        <v>1544</v>
      </c>
      <c r="AA327" s="16" t="s">
        <v>73</v>
      </c>
      <c r="AB327" s="16" t="s">
        <v>855</v>
      </c>
    </row>
    <row r="328" spans="1:28" x14ac:dyDescent="0.3">
      <c r="A328" s="16" t="s">
        <v>837</v>
      </c>
      <c r="B328" s="16" t="s">
        <v>856</v>
      </c>
      <c r="C328" s="16">
        <v>180</v>
      </c>
      <c r="D32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28" s="16">
        <v>94</v>
      </c>
      <c r="F328" s="16" t="str">
        <f>IF(electric_vehicles_spec_2025_csv[[#This Row],[battery_capacity_kWh]]&lt;=30, "0–30 kWh", IF(electric_vehicles_spec_2025_csv[[#This Row],[battery_capacity_kWh]]&lt;=60, "31–60 kWh", "61+ kWh"))</f>
        <v>61+ kWh</v>
      </c>
      <c r="G328" s="16" t="s">
        <v>24</v>
      </c>
      <c r="H328" s="16">
        <v>110</v>
      </c>
      <c r="I328" s="16">
        <v>343</v>
      </c>
      <c r="J328" s="16">
        <v>157</v>
      </c>
      <c r="K328" s="16" t="str">
        <f t="shared" si="5"/>
        <v>131–160 Wh/km</v>
      </c>
      <c r="L328" s="16">
        <v>495</v>
      </c>
      <c r="M328" s="16" t="str">
        <f>IF(electric_vehicles_spec_2025_csv[[#This Row],[range_km]]&lt;=200, "0–200 km",IF(electric_vehicles_spec_2025_csv[[#This Row],[range_km]]&lt;=400, "201–400 km", "401+ km"))</f>
        <v>401+ km</v>
      </c>
      <c r="N328" s="16">
        <v>7.4</v>
      </c>
      <c r="O328" s="16" t="str">
        <f>IF(electric_vehicles_spec_2025_csv[[#This Row],[acceleration_0_100_s]]&lt;4,"0–3.9 s",IF(electric_vehicles_spec_2025_csv[[#This Row],[acceleration_0_100_s]]&lt;6,"4.0–5.9 s",IF(electric_vehicles_spec_2025_csv[[#This Row],[acceleration_0_100_s]]&lt;8,"6.0–7.9 s","8.0+ s")))</f>
        <v>6.0–7.9 s</v>
      </c>
      <c r="P328" s="16">
        <v>135</v>
      </c>
      <c r="Q328" s="16" t="str">
        <f>IF(electric_vehicles_spec_2025_csv[[#This Row],[fast_charging_power_kw_dc]]&lt;50,"0–49 kW",IF(electric_vehicles_spec_2025_csv[[#This Row],[fast_charging_power_kw_dc]]&lt;100,"50–99 kW",IF(electric_vehicles_spec_2025_csv[[#This Row],[fast_charging_power_kw_dc]]&lt;150,"100–149 kW","150+ kW")))</f>
        <v>100–149 kW</v>
      </c>
      <c r="R328" s="16" t="s">
        <v>25</v>
      </c>
      <c r="S328" s="16">
        <v>1500</v>
      </c>
      <c r="T328" s="16" t="s">
        <v>98</v>
      </c>
      <c r="U328" s="16">
        <v>5</v>
      </c>
      <c r="V328" s="16" t="s">
        <v>63</v>
      </c>
      <c r="W328" s="16" t="s">
        <v>147</v>
      </c>
      <c r="X328" s="16">
        <v>4839</v>
      </c>
      <c r="Y328" s="16">
        <v>2008</v>
      </c>
      <c r="Z328" s="16">
        <v>1544</v>
      </c>
      <c r="AA328" s="16" t="s">
        <v>73</v>
      </c>
      <c r="AB328" s="16" t="s">
        <v>857</v>
      </c>
    </row>
    <row r="329" spans="1:28" x14ac:dyDescent="0.3">
      <c r="A329" s="16" t="s">
        <v>858</v>
      </c>
      <c r="B329" s="16" t="s">
        <v>859</v>
      </c>
      <c r="C329" s="16">
        <v>220</v>
      </c>
      <c r="D32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29" s="16">
        <v>95</v>
      </c>
      <c r="F329" s="16" t="str">
        <f>IF(electric_vehicles_spec_2025_csv[[#This Row],[battery_capacity_kWh]]&lt;=30, "0–30 kWh", IF(electric_vehicles_spec_2025_csv[[#This Row],[battery_capacity_kWh]]&lt;=60, "31–60 kWh", "61+ kWh"))</f>
        <v>61+ kWh</v>
      </c>
      <c r="G329" s="16" t="s">
        <v>24</v>
      </c>
      <c r="H329" s="16">
        <v>180</v>
      </c>
      <c r="I329" s="16">
        <v>650</v>
      </c>
      <c r="J329" s="16">
        <v>184</v>
      </c>
      <c r="K329" s="16" t="str">
        <f t="shared" si="5"/>
        <v>161+ Wh/km</v>
      </c>
      <c r="L329" s="16">
        <v>470</v>
      </c>
      <c r="M329" s="16" t="str">
        <f>IF(electric_vehicles_spec_2025_csv[[#This Row],[range_km]]&lt;=200, "0–200 km",IF(electric_vehicles_spec_2025_csv[[#This Row],[range_km]]&lt;=400, "201–400 km", "401+ km"))</f>
        <v>401+ km</v>
      </c>
      <c r="N329" s="16">
        <v>5.2</v>
      </c>
      <c r="O329" s="16" t="str">
        <f>IF(electric_vehicles_spec_2025_csv[[#This Row],[acceleration_0_100_s]]&lt;4,"0–3.9 s",IF(electric_vehicles_spec_2025_csv[[#This Row],[acceleration_0_100_s]]&lt;6,"4.0–5.9 s",IF(electric_vehicles_spec_2025_csv[[#This Row],[acceleration_0_100_s]]&lt;8,"6.0–7.9 s","8.0+ s")))</f>
        <v>4.0–5.9 s</v>
      </c>
      <c r="P329" s="16">
        <v>200</v>
      </c>
      <c r="Q329" s="16" t="str">
        <f>IF(electric_vehicles_spec_2025_csv[[#This Row],[fast_charging_power_kw_dc]]&lt;50,"0–49 kW",IF(electric_vehicles_spec_2025_csv[[#This Row],[fast_charging_power_kw_dc]]&lt;100,"50–99 kW",IF(electric_vehicles_spec_2025_csv[[#This Row],[fast_charging_power_kw_dc]]&lt;150,"100–149 kW","150+ kW")))</f>
        <v>150+ kW</v>
      </c>
      <c r="R329" s="16" t="s">
        <v>25</v>
      </c>
      <c r="S329" s="16">
        <v>2000</v>
      </c>
      <c r="T329" s="16" t="s">
        <v>232</v>
      </c>
      <c r="U329" s="16">
        <v>5</v>
      </c>
      <c r="V329" s="16" t="s">
        <v>70</v>
      </c>
      <c r="W329" s="16" t="s">
        <v>99</v>
      </c>
      <c r="X329" s="16">
        <v>4784</v>
      </c>
      <c r="Y329" s="16">
        <v>1938</v>
      </c>
      <c r="Z329" s="16">
        <v>1622</v>
      </c>
      <c r="AA329" s="16" t="s">
        <v>36</v>
      </c>
      <c r="AB329" s="16" t="s">
        <v>860</v>
      </c>
    </row>
    <row r="330" spans="1:28" x14ac:dyDescent="0.3">
      <c r="A330" s="16" t="s">
        <v>858</v>
      </c>
      <c r="B330" s="16" t="s">
        <v>861</v>
      </c>
      <c r="C330" s="16">
        <v>240</v>
      </c>
      <c r="D33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30" s="16">
        <v>95</v>
      </c>
      <c r="F330" s="16" t="str">
        <f>IF(electric_vehicles_spec_2025_csv[[#This Row],[battery_capacity_kWh]]&lt;=30, "0–30 kWh", IF(electric_vehicles_spec_2025_csv[[#This Row],[battery_capacity_kWh]]&lt;=60, "31–60 kWh", "61+ kWh"))</f>
        <v>61+ kWh</v>
      </c>
      <c r="G330" s="16" t="s">
        <v>24</v>
      </c>
      <c r="H330" s="16">
        <v>180</v>
      </c>
      <c r="I330" s="16">
        <v>820</v>
      </c>
      <c r="J330" s="16">
        <v>186</v>
      </c>
      <c r="K330" s="16" t="str">
        <f t="shared" si="5"/>
        <v>161+ Wh/km</v>
      </c>
      <c r="L330" s="16">
        <v>470</v>
      </c>
      <c r="M330" s="16" t="str">
        <f>IF(electric_vehicles_spec_2025_csv[[#This Row],[range_km]]&lt;=200, "0–200 km",IF(electric_vehicles_spec_2025_csv[[#This Row],[range_km]]&lt;=400, "201–400 km", "401+ km"))</f>
        <v>401+ km</v>
      </c>
      <c r="N330" s="16">
        <v>4.0999999999999996</v>
      </c>
      <c r="O330" s="16" t="str">
        <f>IF(electric_vehicles_spec_2025_csv[[#This Row],[acceleration_0_100_s]]&lt;4,"0–3.9 s",IF(electric_vehicles_spec_2025_csv[[#This Row],[acceleration_0_100_s]]&lt;6,"4.0–5.9 s",IF(electric_vehicles_spec_2025_csv[[#This Row],[acceleration_0_100_s]]&lt;8,"6.0–7.9 s","8.0+ s")))</f>
        <v>4.0–5.9 s</v>
      </c>
      <c r="P330" s="16">
        <v>200</v>
      </c>
      <c r="Q330" s="16" t="str">
        <f>IF(electric_vehicles_spec_2025_csv[[#This Row],[fast_charging_power_kw_dc]]&lt;50,"0–49 kW",IF(electric_vehicles_spec_2025_csv[[#This Row],[fast_charging_power_kw_dc]]&lt;100,"50–99 kW",IF(electric_vehicles_spec_2025_csv[[#This Row],[fast_charging_power_kw_dc]]&lt;150,"100–149 kW","150+ kW")))</f>
        <v>150+ kW</v>
      </c>
      <c r="R330" s="16" t="s">
        <v>25</v>
      </c>
      <c r="S330" s="16">
        <v>2000</v>
      </c>
      <c r="T330" s="16" t="s">
        <v>232</v>
      </c>
      <c r="U330" s="16">
        <v>5</v>
      </c>
      <c r="V330" s="16" t="s">
        <v>70</v>
      </c>
      <c r="W330" s="16" t="s">
        <v>99</v>
      </c>
      <c r="X330" s="16">
        <v>4784</v>
      </c>
      <c r="Y330" s="16">
        <v>1938</v>
      </c>
      <c r="Z330" s="16">
        <v>1622</v>
      </c>
      <c r="AA330" s="16" t="s">
        <v>36</v>
      </c>
      <c r="AB330" s="16" t="s">
        <v>862</v>
      </c>
    </row>
    <row r="331" spans="1:28" x14ac:dyDescent="0.3">
      <c r="A331" s="16" t="s">
        <v>858</v>
      </c>
      <c r="B331" s="16" t="s">
        <v>863</v>
      </c>
      <c r="C331" s="16">
        <v>220</v>
      </c>
      <c r="D33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31" s="16">
        <v>95</v>
      </c>
      <c r="F331" s="16" t="str">
        <f>IF(electric_vehicles_spec_2025_csv[[#This Row],[battery_capacity_kWh]]&lt;=30, "0–30 kWh", IF(electric_vehicles_spec_2025_csv[[#This Row],[battery_capacity_kWh]]&lt;=60, "31–60 kWh", "61+ kWh"))</f>
        <v>61+ kWh</v>
      </c>
      <c r="G331" s="16" t="s">
        <v>24</v>
      </c>
      <c r="H331" s="16">
        <v>180</v>
      </c>
      <c r="I331" s="16">
        <v>563</v>
      </c>
      <c r="J331" s="16">
        <v>177</v>
      </c>
      <c r="K331" s="16" t="str">
        <f t="shared" si="5"/>
        <v>161+ Wh/km</v>
      </c>
      <c r="L331" s="16">
        <v>495</v>
      </c>
      <c r="M331" s="16" t="str">
        <f>IF(electric_vehicles_spec_2025_csv[[#This Row],[range_km]]&lt;=200, "0–200 km",IF(electric_vehicles_spec_2025_csv[[#This Row],[range_km]]&lt;=400, "201–400 km", "401+ km"))</f>
        <v>401+ km</v>
      </c>
      <c r="N331" s="16">
        <v>5.7</v>
      </c>
      <c r="O331" s="16" t="str">
        <f>IF(electric_vehicles_spec_2025_csv[[#This Row],[acceleration_0_100_s]]&lt;4,"0–3.9 s",IF(electric_vehicles_spec_2025_csv[[#This Row],[acceleration_0_100_s]]&lt;6,"4.0–5.9 s",IF(electric_vehicles_spec_2025_csv[[#This Row],[acceleration_0_100_s]]&lt;8,"6.0–7.9 s","8.0+ s")))</f>
        <v>4.0–5.9 s</v>
      </c>
      <c r="P331" s="16">
        <v>200</v>
      </c>
      <c r="Q331" s="16" t="str">
        <f>IF(electric_vehicles_spec_2025_csv[[#This Row],[fast_charging_power_kw_dc]]&lt;50,"0–49 kW",IF(electric_vehicles_spec_2025_csv[[#This Row],[fast_charging_power_kw_dc]]&lt;100,"50–99 kW",IF(electric_vehicles_spec_2025_csv[[#This Row],[fast_charging_power_kw_dc]]&lt;150,"100–149 kW","150+ kW")))</f>
        <v>150+ kW</v>
      </c>
      <c r="R331" s="16" t="s">
        <v>25</v>
      </c>
      <c r="S331" s="16">
        <v>2000</v>
      </c>
      <c r="T331" s="16" t="s">
        <v>232</v>
      </c>
      <c r="U331" s="16">
        <v>5</v>
      </c>
      <c r="V331" s="16" t="s">
        <v>63</v>
      </c>
      <c r="W331" s="16" t="s">
        <v>99</v>
      </c>
      <c r="X331" s="16">
        <v>4784</v>
      </c>
      <c r="Y331" s="16">
        <v>1938</v>
      </c>
      <c r="Z331" s="16">
        <v>1623</v>
      </c>
      <c r="AA331" s="16" t="s">
        <v>36</v>
      </c>
      <c r="AB331" s="16" t="s">
        <v>864</v>
      </c>
    </row>
    <row r="332" spans="1:28" x14ac:dyDescent="0.3">
      <c r="A332" s="16" t="s">
        <v>858</v>
      </c>
      <c r="B332" s="16" t="s">
        <v>865</v>
      </c>
      <c r="C332" s="16">
        <v>260</v>
      </c>
      <c r="D33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32" s="16">
        <v>95</v>
      </c>
      <c r="F332" s="16" t="str">
        <f>IF(electric_vehicles_spec_2025_csv[[#This Row],[battery_capacity_kWh]]&lt;=30, "0–30 kWh", IF(electric_vehicles_spec_2025_csv[[#This Row],[battery_capacity_kWh]]&lt;=60, "31–60 kWh", "61+ kWh"))</f>
        <v>61+ kWh</v>
      </c>
      <c r="G332" s="16" t="s">
        <v>24</v>
      </c>
      <c r="H332" s="16">
        <v>180</v>
      </c>
      <c r="I332" s="16">
        <v>1001</v>
      </c>
      <c r="J332" s="16">
        <v>183</v>
      </c>
      <c r="K332" s="16" t="str">
        <f t="shared" si="5"/>
        <v>161+ Wh/km</v>
      </c>
      <c r="L332" s="16">
        <v>460</v>
      </c>
      <c r="M332" s="16" t="str">
        <f>IF(electric_vehicles_spec_2025_csv[[#This Row],[range_km]]&lt;=200, "0–200 km",IF(electric_vehicles_spec_2025_csv[[#This Row],[range_km]]&lt;=400, "201–400 km", "401+ km"))</f>
        <v>401+ km</v>
      </c>
      <c r="N332" s="16">
        <v>3.3</v>
      </c>
      <c r="O332" s="16" t="str">
        <f>IF(electric_vehicles_spec_2025_csv[[#This Row],[acceleration_0_100_s]]&lt;4,"0–3.9 s",IF(electric_vehicles_spec_2025_csv[[#This Row],[acceleration_0_100_s]]&lt;6,"4.0–5.9 s",IF(electric_vehicles_spec_2025_csv[[#This Row],[acceleration_0_100_s]]&lt;8,"6.0–7.9 s","8.0+ s")))</f>
        <v>0–3.9 s</v>
      </c>
      <c r="P332" s="16">
        <v>200</v>
      </c>
      <c r="Q332" s="16" t="str">
        <f>IF(electric_vehicles_spec_2025_csv[[#This Row],[fast_charging_power_kw_dc]]&lt;50,"0–49 kW",IF(electric_vehicles_spec_2025_csv[[#This Row],[fast_charging_power_kw_dc]]&lt;100,"50–99 kW",IF(electric_vehicles_spec_2025_csv[[#This Row],[fast_charging_power_kw_dc]]&lt;150,"100–149 kW","150+ kW")))</f>
        <v>150+ kW</v>
      </c>
      <c r="R332" s="16" t="s">
        <v>25</v>
      </c>
      <c r="S332" s="16">
        <v>2000</v>
      </c>
      <c r="T332" s="16" t="s">
        <v>428</v>
      </c>
      <c r="U332" s="16">
        <v>5</v>
      </c>
      <c r="V332" s="16" t="s">
        <v>70</v>
      </c>
      <c r="W332" s="16" t="s">
        <v>99</v>
      </c>
      <c r="X332" s="16">
        <v>4784</v>
      </c>
      <c r="Y332" s="16">
        <v>1938</v>
      </c>
      <c r="Z332" s="16">
        <v>1621</v>
      </c>
      <c r="AA332" s="16" t="s">
        <v>36</v>
      </c>
      <c r="AB332" s="16" t="s">
        <v>866</v>
      </c>
    </row>
    <row r="333" spans="1:28" x14ac:dyDescent="0.3">
      <c r="A333" s="16" t="s">
        <v>858</v>
      </c>
      <c r="B333" s="16" t="s">
        <v>867</v>
      </c>
      <c r="C333" s="16">
        <v>230</v>
      </c>
      <c r="D33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33" s="16">
        <v>82.3</v>
      </c>
      <c r="F333" s="16" t="str">
        <f>IF(electric_vehicles_spec_2025_csv[[#This Row],[battery_capacity_kWh]]&lt;=30, "0–30 kWh", IF(electric_vehicles_spec_2025_csv[[#This Row],[battery_capacity_kWh]]&lt;=60, "31–60 kWh", "61+ kWh"))</f>
        <v>61+ kWh</v>
      </c>
      <c r="G333" s="16" t="s">
        <v>24</v>
      </c>
      <c r="H333" s="16"/>
      <c r="I333" s="16">
        <v>410</v>
      </c>
      <c r="J333" s="16">
        <v>164</v>
      </c>
      <c r="K333" s="16" t="str">
        <f t="shared" si="5"/>
        <v>161+ Wh/km</v>
      </c>
      <c r="L333" s="16">
        <v>495</v>
      </c>
      <c r="M333" s="16" t="str">
        <f>IF(electric_vehicles_spec_2025_csv[[#This Row],[range_km]]&lt;=200, "0–200 km",IF(electric_vehicles_spec_2025_csv[[#This Row],[range_km]]&lt;=400, "201–400 km", "401+ km"))</f>
        <v>401+ km</v>
      </c>
      <c r="N333" s="16">
        <v>4.8</v>
      </c>
      <c r="O333" s="16" t="str">
        <f>IF(electric_vehicles_spec_2025_csv[[#This Row],[acceleration_0_100_s]]&lt;4,"0–3.9 s",IF(electric_vehicles_spec_2025_csv[[#This Row],[acceleration_0_100_s]]&lt;6,"4.0–5.9 s",IF(electric_vehicles_spec_2025_csv[[#This Row],[acceleration_0_100_s]]&lt;8,"6.0–7.9 s","8.0+ s")))</f>
        <v>4.0–5.9 s</v>
      </c>
      <c r="P333" s="16">
        <v>195</v>
      </c>
      <c r="Q333" s="16" t="str">
        <f>IF(electric_vehicles_spec_2025_csv[[#This Row],[fast_charging_power_kw_dc]]&lt;50,"0–49 kW",IF(electric_vehicles_spec_2025_csv[[#This Row],[fast_charging_power_kw_dc]]&lt;100,"50–99 kW",IF(electric_vehicles_spec_2025_csv[[#This Row],[fast_charging_power_kw_dc]]&lt;150,"100–149 kW","150+ kW")))</f>
        <v>150+ kW</v>
      </c>
      <c r="R333" s="16" t="s">
        <v>25</v>
      </c>
      <c r="S333" s="16">
        <v>0</v>
      </c>
      <c r="T333" s="16" t="s">
        <v>839</v>
      </c>
      <c r="U333" s="16">
        <v>5</v>
      </c>
      <c r="V333" s="16" t="s">
        <v>63</v>
      </c>
      <c r="W333" s="16" t="s">
        <v>124</v>
      </c>
      <c r="X333" s="16">
        <v>4963</v>
      </c>
      <c r="Y333" s="16">
        <v>1966</v>
      </c>
      <c r="Z333" s="16">
        <v>1379</v>
      </c>
      <c r="AA333" s="16" t="s">
        <v>125</v>
      </c>
      <c r="AB333" s="16" t="s">
        <v>868</v>
      </c>
    </row>
    <row r="334" spans="1:28" x14ac:dyDescent="0.3">
      <c r="A334" s="16" t="s">
        <v>858</v>
      </c>
      <c r="B334" s="16" t="s">
        <v>869</v>
      </c>
      <c r="C334" s="16">
        <v>230</v>
      </c>
      <c r="D33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34" s="16">
        <v>82.3</v>
      </c>
      <c r="F334" s="16" t="str">
        <f>IF(electric_vehicles_spec_2025_csv[[#This Row],[battery_capacity_kWh]]&lt;=30, "0–30 kWh", IF(electric_vehicles_spec_2025_csv[[#This Row],[battery_capacity_kWh]]&lt;=60, "31–60 kWh", "61+ kWh"))</f>
        <v>61+ kWh</v>
      </c>
      <c r="G334" s="16" t="s">
        <v>24</v>
      </c>
      <c r="H334" s="16"/>
      <c r="I334" s="16">
        <v>585</v>
      </c>
      <c r="J334" s="16">
        <v>172</v>
      </c>
      <c r="K334" s="16" t="str">
        <f t="shared" si="5"/>
        <v>161+ Wh/km</v>
      </c>
      <c r="L334" s="16">
        <v>490</v>
      </c>
      <c r="M334" s="16" t="str">
        <f>IF(electric_vehicles_spec_2025_csv[[#This Row],[range_km]]&lt;=200, "0–200 km",IF(electric_vehicles_spec_2025_csv[[#This Row],[range_km]]&lt;=400, "201–400 km", "401+ km"))</f>
        <v>401+ km</v>
      </c>
      <c r="N334" s="16">
        <v>4.5999999999999996</v>
      </c>
      <c r="O334" s="16" t="str">
        <f>IF(electric_vehicles_spec_2025_csv[[#This Row],[acceleration_0_100_s]]&lt;4,"0–3.9 s",IF(electric_vehicles_spec_2025_csv[[#This Row],[acceleration_0_100_s]]&lt;6,"4.0–5.9 s",IF(electric_vehicles_spec_2025_csv[[#This Row],[acceleration_0_100_s]]&lt;8,"6.0–7.9 s","8.0+ s")))</f>
        <v>4.0–5.9 s</v>
      </c>
      <c r="P334" s="16">
        <v>195</v>
      </c>
      <c r="Q334" s="16" t="str">
        <f>IF(electric_vehicles_spec_2025_csv[[#This Row],[fast_charging_power_kw_dc]]&lt;50,"0–49 kW",IF(electric_vehicles_spec_2025_csv[[#This Row],[fast_charging_power_kw_dc]]&lt;100,"50–99 kW",IF(electric_vehicles_spec_2025_csv[[#This Row],[fast_charging_power_kw_dc]]&lt;150,"100–149 kW","150+ kW")))</f>
        <v>150+ kW</v>
      </c>
      <c r="R334" s="16" t="s">
        <v>25</v>
      </c>
      <c r="S334" s="16">
        <v>0</v>
      </c>
      <c r="T334" s="16" t="s">
        <v>839</v>
      </c>
      <c r="U334" s="16">
        <v>5</v>
      </c>
      <c r="V334" s="16" t="s">
        <v>70</v>
      </c>
      <c r="W334" s="16" t="s">
        <v>124</v>
      </c>
      <c r="X334" s="16">
        <v>4963</v>
      </c>
      <c r="Y334" s="16">
        <v>1966</v>
      </c>
      <c r="Z334" s="16">
        <v>1379</v>
      </c>
      <c r="AA334" s="16" t="s">
        <v>125</v>
      </c>
      <c r="AB334" s="16" t="s">
        <v>870</v>
      </c>
    </row>
    <row r="335" spans="1:28" x14ac:dyDescent="0.3">
      <c r="A335" s="16" t="s">
        <v>858</v>
      </c>
      <c r="B335" s="16" t="s">
        <v>871</v>
      </c>
      <c r="C335" s="16">
        <v>220</v>
      </c>
      <c r="D33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35" s="16">
        <v>97</v>
      </c>
      <c r="F335" s="16" t="str">
        <f>IF(electric_vehicles_spec_2025_csv[[#This Row],[battery_capacity_kWh]]&lt;=30, "0–30 kWh", IF(electric_vehicles_spec_2025_csv[[#This Row],[battery_capacity_kWh]]&lt;=60, "31–60 kWh", "61+ kWh"))</f>
        <v>61+ kWh</v>
      </c>
      <c r="G335" s="16" t="s">
        <v>24</v>
      </c>
      <c r="H335" s="16">
        <v>396</v>
      </c>
      <c r="I335" s="16">
        <v>610</v>
      </c>
      <c r="J335" s="16">
        <v>188</v>
      </c>
      <c r="K335" s="16" t="str">
        <f t="shared" si="5"/>
        <v>161+ Wh/km</v>
      </c>
      <c r="L335" s="16">
        <v>510</v>
      </c>
      <c r="M335" s="16" t="str">
        <f>IF(electric_vehicles_spec_2025_csv[[#This Row],[range_km]]&lt;=200, "0–200 km",IF(electric_vehicles_spec_2025_csv[[#This Row],[range_km]]&lt;=400, "201–400 km", "401+ km"))</f>
        <v>401+ km</v>
      </c>
      <c r="N335" s="16">
        <v>4.7</v>
      </c>
      <c r="O335" s="16" t="str">
        <f>IF(electric_vehicles_spec_2025_csv[[#This Row],[acceleration_0_100_s]]&lt;4,"0–3.9 s",IF(electric_vehicles_spec_2025_csv[[#This Row],[acceleration_0_100_s]]&lt;6,"4.0–5.9 s",IF(electric_vehicles_spec_2025_csv[[#This Row],[acceleration_0_100_s]]&lt;8,"6.0–7.9 s","8.0+ s")))</f>
        <v>4.0–5.9 s</v>
      </c>
      <c r="P335" s="16">
        <v>281</v>
      </c>
      <c r="Q335" s="16" t="str">
        <f>IF(electric_vehicles_spec_2025_csv[[#This Row],[fast_charging_power_kw_dc]]&lt;50,"0–49 kW",IF(electric_vehicles_spec_2025_csv[[#This Row],[fast_charging_power_kw_dc]]&lt;100,"50–99 kW",IF(electric_vehicles_spec_2025_csv[[#This Row],[fast_charging_power_kw_dc]]&lt;150,"100–149 kW","150+ kW")))</f>
        <v>150+ kW</v>
      </c>
      <c r="R335" s="16" t="s">
        <v>25</v>
      </c>
      <c r="S335" s="16">
        <v>0</v>
      </c>
      <c r="T335" s="16" t="s">
        <v>872</v>
      </c>
      <c r="U335" s="16">
        <v>5</v>
      </c>
      <c r="V335" s="16" t="s">
        <v>70</v>
      </c>
      <c r="W335" s="16" t="s">
        <v>124</v>
      </c>
      <c r="X335" s="16">
        <v>4974</v>
      </c>
      <c r="Y335" s="16">
        <v>1967</v>
      </c>
      <c r="Z335" s="16">
        <v>1409</v>
      </c>
      <c r="AA335" s="16" t="s">
        <v>65</v>
      </c>
      <c r="AB335" s="16" t="s">
        <v>873</v>
      </c>
    </row>
    <row r="336" spans="1:28" x14ac:dyDescent="0.3">
      <c r="A336" s="16" t="s">
        <v>858</v>
      </c>
      <c r="B336" s="16" t="s">
        <v>874</v>
      </c>
      <c r="C336" s="16">
        <v>230</v>
      </c>
      <c r="D33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36" s="16">
        <v>97</v>
      </c>
      <c r="F336" s="16" t="str">
        <f>IF(electric_vehicles_spec_2025_csv[[#This Row],[battery_capacity_kWh]]&lt;=30, "0–30 kWh", IF(electric_vehicles_spec_2025_csv[[#This Row],[battery_capacity_kWh]]&lt;=60, "31–60 kWh", "61+ kWh"))</f>
        <v>61+ kWh</v>
      </c>
      <c r="G336" s="16" t="s">
        <v>24</v>
      </c>
      <c r="H336" s="16">
        <v>396</v>
      </c>
      <c r="I336" s="16">
        <v>610</v>
      </c>
      <c r="J336" s="16">
        <v>175</v>
      </c>
      <c r="K336" s="16" t="str">
        <f t="shared" si="5"/>
        <v>161+ Wh/km</v>
      </c>
      <c r="L336" s="16">
        <v>565</v>
      </c>
      <c r="M336" s="16" t="str">
        <f>IF(electric_vehicles_spec_2025_csv[[#This Row],[range_km]]&lt;=200, "0–200 km",IF(electric_vehicles_spec_2025_csv[[#This Row],[range_km]]&lt;=400, "201–400 km", "401+ km"))</f>
        <v>401+ km</v>
      </c>
      <c r="N336" s="16">
        <v>4.5999999999999996</v>
      </c>
      <c r="O336" s="16" t="str">
        <f>IF(electric_vehicles_spec_2025_csv[[#This Row],[acceleration_0_100_s]]&lt;4,"0–3.9 s",IF(electric_vehicles_spec_2025_csv[[#This Row],[acceleration_0_100_s]]&lt;6,"4.0–5.9 s",IF(electric_vehicles_spec_2025_csv[[#This Row],[acceleration_0_100_s]]&lt;8,"6.0–7.9 s","8.0+ s")))</f>
        <v>4.0–5.9 s</v>
      </c>
      <c r="P336" s="16">
        <v>281</v>
      </c>
      <c r="Q336" s="16" t="str">
        <f>IF(electric_vehicles_spec_2025_csv[[#This Row],[fast_charging_power_kw_dc]]&lt;50,"0–49 kW",IF(electric_vehicles_spec_2025_csv[[#This Row],[fast_charging_power_kw_dc]]&lt;100,"50–99 kW",IF(electric_vehicles_spec_2025_csv[[#This Row],[fast_charging_power_kw_dc]]&lt;150,"100–149 kW","150+ kW")))</f>
        <v>150+ kW</v>
      </c>
      <c r="R336" s="16" t="s">
        <v>25</v>
      </c>
      <c r="S336" s="16">
        <v>0</v>
      </c>
      <c r="T336" s="16" t="s">
        <v>839</v>
      </c>
      <c r="U336" s="16">
        <v>5</v>
      </c>
      <c r="V336" s="16" t="s">
        <v>70</v>
      </c>
      <c r="W336" s="16" t="s">
        <v>124</v>
      </c>
      <c r="X336" s="16">
        <v>4963</v>
      </c>
      <c r="Y336" s="16">
        <v>1966</v>
      </c>
      <c r="Z336" s="16">
        <v>1379</v>
      </c>
      <c r="AA336" s="16" t="s">
        <v>125</v>
      </c>
      <c r="AB336" s="16" t="s">
        <v>875</v>
      </c>
    </row>
    <row r="337" spans="1:28" x14ac:dyDescent="0.3">
      <c r="A337" s="16" t="s">
        <v>858</v>
      </c>
      <c r="B337" s="16" t="s">
        <v>876</v>
      </c>
      <c r="C337" s="16">
        <v>250</v>
      </c>
      <c r="D33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37" s="16">
        <v>82.3</v>
      </c>
      <c r="F337" s="16" t="str">
        <f>IF(electric_vehicles_spec_2025_csv[[#This Row],[battery_capacity_kWh]]&lt;=30, "0–30 kWh", IF(electric_vehicles_spec_2025_csv[[#This Row],[battery_capacity_kWh]]&lt;=60, "31–60 kWh", "61+ kWh"))</f>
        <v>61+ kWh</v>
      </c>
      <c r="G337" s="16" t="s">
        <v>24</v>
      </c>
      <c r="H337" s="16"/>
      <c r="I337" s="16">
        <v>695</v>
      </c>
      <c r="J337" s="16">
        <v>174</v>
      </c>
      <c r="K337" s="16" t="str">
        <f t="shared" si="5"/>
        <v>161+ Wh/km</v>
      </c>
      <c r="L337" s="16">
        <v>490</v>
      </c>
      <c r="M337" s="16" t="str">
        <f>IF(electric_vehicles_spec_2025_csv[[#This Row],[range_km]]&lt;=200, "0–200 km",IF(electric_vehicles_spec_2025_csv[[#This Row],[range_km]]&lt;=400, "201–400 km", "401+ km"))</f>
        <v>401+ km</v>
      </c>
      <c r="N337" s="16">
        <v>3.7</v>
      </c>
      <c r="O337" s="16" t="str">
        <f>IF(electric_vehicles_spec_2025_csv[[#This Row],[acceleration_0_100_s]]&lt;4,"0–3.9 s",IF(electric_vehicles_spec_2025_csv[[#This Row],[acceleration_0_100_s]]&lt;6,"4.0–5.9 s",IF(electric_vehicles_spec_2025_csv[[#This Row],[acceleration_0_100_s]]&lt;8,"6.0–7.9 s","8.0+ s")))</f>
        <v>0–3.9 s</v>
      </c>
      <c r="P337" s="16">
        <v>195</v>
      </c>
      <c r="Q337" s="16" t="str">
        <f>IF(electric_vehicles_spec_2025_csv[[#This Row],[fast_charging_power_kw_dc]]&lt;50,"0–49 kW",IF(electric_vehicles_spec_2025_csv[[#This Row],[fast_charging_power_kw_dc]]&lt;100,"50–99 kW",IF(electric_vehicles_spec_2025_csv[[#This Row],[fast_charging_power_kw_dc]]&lt;150,"100–149 kW","150+ kW")))</f>
        <v>150+ kW</v>
      </c>
      <c r="R337" s="16" t="s">
        <v>25</v>
      </c>
      <c r="S337" s="16">
        <v>0</v>
      </c>
      <c r="T337" s="16" t="s">
        <v>839</v>
      </c>
      <c r="U337" s="16">
        <v>5</v>
      </c>
      <c r="V337" s="16" t="s">
        <v>70</v>
      </c>
      <c r="W337" s="16" t="s">
        <v>124</v>
      </c>
      <c r="X337" s="16">
        <v>4963</v>
      </c>
      <c r="Y337" s="16">
        <v>1966</v>
      </c>
      <c r="Z337" s="16">
        <v>1379</v>
      </c>
      <c r="AA337" s="16" t="s">
        <v>125</v>
      </c>
      <c r="AB337" s="16" t="s">
        <v>877</v>
      </c>
    </row>
    <row r="338" spans="1:28" x14ac:dyDescent="0.3">
      <c r="A338" s="16" t="s">
        <v>858</v>
      </c>
      <c r="B338" s="16" t="s">
        <v>878</v>
      </c>
      <c r="C338" s="16">
        <v>240</v>
      </c>
      <c r="D33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38" s="16">
        <v>97</v>
      </c>
      <c r="F338" s="16" t="str">
        <f>IF(electric_vehicles_spec_2025_csv[[#This Row],[battery_capacity_kWh]]&lt;=30, "0–30 kWh", IF(electric_vehicles_spec_2025_csv[[#This Row],[battery_capacity_kWh]]&lt;=60, "31–60 kWh", "61+ kWh"))</f>
        <v>61+ kWh</v>
      </c>
      <c r="G338" s="16" t="s">
        <v>24</v>
      </c>
      <c r="H338" s="16">
        <v>396</v>
      </c>
      <c r="I338" s="16">
        <v>710</v>
      </c>
      <c r="J338" s="16">
        <v>188</v>
      </c>
      <c r="K338" s="16" t="str">
        <f t="shared" si="5"/>
        <v>161+ Wh/km</v>
      </c>
      <c r="L338" s="16">
        <v>510</v>
      </c>
      <c r="M338" s="16" t="str">
        <f>IF(electric_vehicles_spec_2025_csv[[#This Row],[range_km]]&lt;=200, "0–200 km",IF(electric_vehicles_spec_2025_csv[[#This Row],[range_km]]&lt;=400, "201–400 km", "401+ km"))</f>
        <v>401+ km</v>
      </c>
      <c r="N338" s="16">
        <v>3.8</v>
      </c>
      <c r="O338" s="16" t="str">
        <f>IF(electric_vehicles_spec_2025_csv[[#This Row],[acceleration_0_100_s]]&lt;4,"0–3.9 s",IF(electric_vehicles_spec_2025_csv[[#This Row],[acceleration_0_100_s]]&lt;6,"4.0–5.9 s",IF(electric_vehicles_spec_2025_csv[[#This Row],[acceleration_0_100_s]]&lt;8,"6.0–7.9 s","8.0+ s")))</f>
        <v>0–3.9 s</v>
      </c>
      <c r="P338" s="16">
        <v>281</v>
      </c>
      <c r="Q338" s="16" t="str">
        <f>IF(electric_vehicles_spec_2025_csv[[#This Row],[fast_charging_power_kw_dc]]&lt;50,"0–49 kW",IF(electric_vehicles_spec_2025_csv[[#This Row],[fast_charging_power_kw_dc]]&lt;100,"50–99 kW",IF(electric_vehicles_spec_2025_csv[[#This Row],[fast_charging_power_kw_dc]]&lt;150,"100–149 kW","150+ kW")))</f>
        <v>150+ kW</v>
      </c>
      <c r="R338" s="16" t="s">
        <v>25</v>
      </c>
      <c r="S338" s="16">
        <v>0</v>
      </c>
      <c r="T338" s="16" t="s">
        <v>872</v>
      </c>
      <c r="U338" s="16">
        <v>5</v>
      </c>
      <c r="V338" s="16" t="s">
        <v>70</v>
      </c>
      <c r="W338" s="16" t="s">
        <v>124</v>
      </c>
      <c r="X338" s="16">
        <v>4974</v>
      </c>
      <c r="Y338" s="16">
        <v>1967</v>
      </c>
      <c r="Z338" s="16">
        <v>1409</v>
      </c>
      <c r="AA338" s="16" t="s">
        <v>65</v>
      </c>
      <c r="AB338" s="16" t="s">
        <v>879</v>
      </c>
    </row>
    <row r="339" spans="1:28" x14ac:dyDescent="0.3">
      <c r="A339" s="16" t="s">
        <v>858</v>
      </c>
      <c r="B339" s="16" t="s">
        <v>880</v>
      </c>
      <c r="C339" s="16">
        <v>250</v>
      </c>
      <c r="D33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39" s="16">
        <v>97</v>
      </c>
      <c r="F339" s="16" t="str">
        <f>IF(electric_vehicles_spec_2025_csv[[#This Row],[battery_capacity_kWh]]&lt;=30, "0–30 kWh", IF(electric_vehicles_spec_2025_csv[[#This Row],[battery_capacity_kWh]]&lt;=60, "31–60 kWh", "61+ kWh"))</f>
        <v>61+ kWh</v>
      </c>
      <c r="G339" s="16" t="s">
        <v>24</v>
      </c>
      <c r="H339" s="16">
        <v>396</v>
      </c>
      <c r="I339" s="16">
        <v>710</v>
      </c>
      <c r="J339" s="16">
        <v>177</v>
      </c>
      <c r="K339" s="16" t="str">
        <f t="shared" si="5"/>
        <v>161+ Wh/km</v>
      </c>
      <c r="L339" s="16">
        <v>565</v>
      </c>
      <c r="M339" s="16" t="str">
        <f>IF(electric_vehicles_spec_2025_csv[[#This Row],[range_km]]&lt;=200, "0–200 km",IF(electric_vehicles_spec_2025_csv[[#This Row],[range_km]]&lt;=400, "201–400 km", "401+ km"))</f>
        <v>401+ km</v>
      </c>
      <c r="N339" s="16">
        <v>3.7</v>
      </c>
      <c r="O339" s="16" t="str">
        <f>IF(electric_vehicles_spec_2025_csv[[#This Row],[acceleration_0_100_s]]&lt;4,"0–3.9 s",IF(electric_vehicles_spec_2025_csv[[#This Row],[acceleration_0_100_s]]&lt;6,"4.0–5.9 s",IF(electric_vehicles_spec_2025_csv[[#This Row],[acceleration_0_100_s]]&lt;8,"6.0–7.9 s","8.0+ s")))</f>
        <v>0–3.9 s</v>
      </c>
      <c r="P339" s="16">
        <v>281</v>
      </c>
      <c r="Q339" s="16" t="str">
        <f>IF(electric_vehicles_spec_2025_csv[[#This Row],[fast_charging_power_kw_dc]]&lt;50,"0–49 kW",IF(electric_vehicles_spec_2025_csv[[#This Row],[fast_charging_power_kw_dc]]&lt;100,"50–99 kW",IF(electric_vehicles_spec_2025_csv[[#This Row],[fast_charging_power_kw_dc]]&lt;150,"100–149 kW","150+ kW")))</f>
        <v>150+ kW</v>
      </c>
      <c r="R339" s="16" t="s">
        <v>25</v>
      </c>
      <c r="S339" s="16">
        <v>0</v>
      </c>
      <c r="T339" s="16" t="s">
        <v>839</v>
      </c>
      <c r="U339" s="16">
        <v>5</v>
      </c>
      <c r="V339" s="16" t="s">
        <v>70</v>
      </c>
      <c r="W339" s="16" t="s">
        <v>124</v>
      </c>
      <c r="X339" s="16">
        <v>4963</v>
      </c>
      <c r="Y339" s="16">
        <v>1966</v>
      </c>
      <c r="Z339" s="16">
        <v>1379</v>
      </c>
      <c r="AA339" s="16" t="s">
        <v>125</v>
      </c>
      <c r="AB339" s="16" t="s">
        <v>881</v>
      </c>
    </row>
    <row r="340" spans="1:28" x14ac:dyDescent="0.3">
      <c r="A340" s="16" t="s">
        <v>858</v>
      </c>
      <c r="B340" s="16" t="s">
        <v>882</v>
      </c>
      <c r="C340" s="16">
        <v>250</v>
      </c>
      <c r="D34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40" s="16">
        <v>97</v>
      </c>
      <c r="F340" s="16" t="str">
        <f>IF(electric_vehicles_spec_2025_csv[[#This Row],[battery_capacity_kWh]]&lt;=30, "0–30 kWh", IF(electric_vehicles_spec_2025_csv[[#This Row],[battery_capacity_kWh]]&lt;=60, "31–60 kWh", "61+ kWh"))</f>
        <v>61+ kWh</v>
      </c>
      <c r="G340" s="16" t="s">
        <v>24</v>
      </c>
      <c r="H340" s="16">
        <v>396</v>
      </c>
      <c r="I340" s="16">
        <v>710</v>
      </c>
      <c r="J340" s="16">
        <v>186</v>
      </c>
      <c r="K340" s="16" t="str">
        <f t="shared" si="5"/>
        <v>161+ Wh/km</v>
      </c>
      <c r="L340" s="16">
        <v>510</v>
      </c>
      <c r="M340" s="16" t="str">
        <f>IF(electric_vehicles_spec_2025_csv[[#This Row],[range_km]]&lt;=200, "0–200 km",IF(electric_vehicles_spec_2025_csv[[#This Row],[range_km]]&lt;=400, "201–400 km", "401+ km"))</f>
        <v>401+ km</v>
      </c>
      <c r="N340" s="16">
        <v>3.7</v>
      </c>
      <c r="O340" s="16" t="str">
        <f>IF(electric_vehicles_spec_2025_csv[[#This Row],[acceleration_0_100_s]]&lt;4,"0–3.9 s",IF(electric_vehicles_spec_2025_csv[[#This Row],[acceleration_0_100_s]]&lt;6,"4.0–5.9 s",IF(electric_vehicles_spec_2025_csv[[#This Row],[acceleration_0_100_s]]&lt;8,"6.0–7.9 s","8.0+ s")))</f>
        <v>0–3.9 s</v>
      </c>
      <c r="P340" s="16">
        <v>281</v>
      </c>
      <c r="Q340" s="16" t="str">
        <f>IF(electric_vehicles_spec_2025_csv[[#This Row],[fast_charging_power_kw_dc]]&lt;50,"0–49 kW",IF(electric_vehicles_spec_2025_csv[[#This Row],[fast_charging_power_kw_dc]]&lt;100,"50–99 kW",IF(electric_vehicles_spec_2025_csv[[#This Row],[fast_charging_power_kw_dc]]&lt;150,"100–149 kW","150+ kW")))</f>
        <v>150+ kW</v>
      </c>
      <c r="R340" s="16" t="s">
        <v>25</v>
      </c>
      <c r="S340" s="16">
        <v>0</v>
      </c>
      <c r="T340" s="16" t="s">
        <v>872</v>
      </c>
      <c r="U340" s="16">
        <v>5</v>
      </c>
      <c r="V340" s="16" t="s">
        <v>70</v>
      </c>
      <c r="W340" s="16" t="s">
        <v>124</v>
      </c>
      <c r="X340" s="16">
        <v>4963</v>
      </c>
      <c r="Y340" s="16">
        <v>1966</v>
      </c>
      <c r="Z340" s="16">
        <v>1390</v>
      </c>
      <c r="AA340" s="16" t="s">
        <v>65</v>
      </c>
      <c r="AB340" s="16" t="s">
        <v>883</v>
      </c>
    </row>
    <row r="341" spans="1:28" x14ac:dyDescent="0.3">
      <c r="A341" s="16" t="s">
        <v>858</v>
      </c>
      <c r="B341" s="16" t="s">
        <v>884</v>
      </c>
      <c r="C341" s="16">
        <v>250</v>
      </c>
      <c r="D34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41" s="16">
        <v>82.3</v>
      </c>
      <c r="F341" s="16" t="str">
        <f>IF(electric_vehicles_spec_2025_csv[[#This Row],[battery_capacity_kWh]]&lt;=30, "0–30 kWh", IF(electric_vehicles_spec_2025_csv[[#This Row],[battery_capacity_kWh]]&lt;=60, "31–60 kWh", "61+ kWh"))</f>
        <v>61+ kWh</v>
      </c>
      <c r="G341" s="16" t="s">
        <v>24</v>
      </c>
      <c r="H341" s="16"/>
      <c r="I341" s="16">
        <v>695</v>
      </c>
      <c r="J341" s="16">
        <v>183</v>
      </c>
      <c r="K341" s="16" t="str">
        <f t="shared" si="5"/>
        <v>161+ Wh/km</v>
      </c>
      <c r="L341" s="16">
        <v>440</v>
      </c>
      <c r="M341" s="16" t="str">
        <f>IF(electric_vehicles_spec_2025_csv[[#This Row],[range_km]]&lt;=200, "0–200 km",IF(electric_vehicles_spec_2025_csv[[#This Row],[range_km]]&lt;=400, "201–400 km", "401+ km"))</f>
        <v>401+ km</v>
      </c>
      <c r="N341" s="16">
        <v>3.7</v>
      </c>
      <c r="O341" s="16" t="str">
        <f>IF(electric_vehicles_spec_2025_csv[[#This Row],[acceleration_0_100_s]]&lt;4,"0–3.9 s",IF(electric_vehicles_spec_2025_csv[[#This Row],[acceleration_0_100_s]]&lt;6,"4.0–5.9 s",IF(electric_vehicles_spec_2025_csv[[#This Row],[acceleration_0_100_s]]&lt;8,"6.0–7.9 s","8.0+ s")))</f>
        <v>0–3.9 s</v>
      </c>
      <c r="P341" s="16">
        <v>195</v>
      </c>
      <c r="Q341" s="16" t="str">
        <f>IF(electric_vehicles_spec_2025_csv[[#This Row],[fast_charging_power_kw_dc]]&lt;50,"0–49 kW",IF(electric_vehicles_spec_2025_csv[[#This Row],[fast_charging_power_kw_dc]]&lt;100,"50–99 kW",IF(electric_vehicles_spec_2025_csv[[#This Row],[fast_charging_power_kw_dc]]&lt;150,"100–149 kW","150+ kW")))</f>
        <v>150+ kW</v>
      </c>
      <c r="R341" s="16" t="s">
        <v>25</v>
      </c>
      <c r="S341" s="16">
        <v>0</v>
      </c>
      <c r="T341" s="16" t="s">
        <v>872</v>
      </c>
      <c r="U341" s="16">
        <v>5</v>
      </c>
      <c r="V341" s="16" t="s">
        <v>70</v>
      </c>
      <c r="W341" s="16" t="s">
        <v>124</v>
      </c>
      <c r="X341" s="16">
        <v>4963</v>
      </c>
      <c r="Y341" s="16">
        <v>1966</v>
      </c>
      <c r="Z341" s="16">
        <v>1390</v>
      </c>
      <c r="AA341" s="16" t="s">
        <v>65</v>
      </c>
      <c r="AB341" s="16" t="s">
        <v>885</v>
      </c>
    </row>
    <row r="342" spans="1:28" x14ac:dyDescent="0.3">
      <c r="A342" s="16" t="s">
        <v>858</v>
      </c>
      <c r="B342" s="16" t="s">
        <v>886</v>
      </c>
      <c r="C342" s="16">
        <v>250</v>
      </c>
      <c r="D34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42" s="16">
        <v>97</v>
      </c>
      <c r="F342" s="16" t="str">
        <f>IF(electric_vehicles_spec_2025_csv[[#This Row],[battery_capacity_kWh]]&lt;=30, "0–30 kWh", IF(electric_vehicles_spec_2025_csv[[#This Row],[battery_capacity_kWh]]&lt;=60, "31–60 kWh", "61+ kWh"))</f>
        <v>61+ kWh</v>
      </c>
      <c r="G342" s="16" t="s">
        <v>24</v>
      </c>
      <c r="H342" s="16">
        <v>396</v>
      </c>
      <c r="I342" s="16">
        <v>790</v>
      </c>
      <c r="J342" s="16">
        <v>176</v>
      </c>
      <c r="K342" s="16" t="str">
        <f t="shared" si="5"/>
        <v>161+ Wh/km</v>
      </c>
      <c r="L342" s="16">
        <v>535</v>
      </c>
      <c r="M342" s="16" t="str">
        <f>IF(electric_vehicles_spec_2025_csv[[#This Row],[range_km]]&lt;=200, "0–200 km",IF(electric_vehicles_spec_2025_csv[[#This Row],[range_km]]&lt;=400, "201–400 km", "401+ km"))</f>
        <v>401+ km</v>
      </c>
      <c r="N342" s="16">
        <v>3.3</v>
      </c>
      <c r="O342" s="16" t="str">
        <f>IF(electric_vehicles_spec_2025_csv[[#This Row],[acceleration_0_100_s]]&lt;4,"0–3.9 s",IF(electric_vehicles_spec_2025_csv[[#This Row],[acceleration_0_100_s]]&lt;6,"4.0–5.9 s",IF(electric_vehicles_spec_2025_csv[[#This Row],[acceleration_0_100_s]]&lt;8,"6.0–7.9 s","8.0+ s")))</f>
        <v>0–3.9 s</v>
      </c>
      <c r="P342" s="16">
        <v>281</v>
      </c>
      <c r="Q342" s="16" t="str">
        <f>IF(electric_vehicles_spec_2025_csv[[#This Row],[fast_charging_power_kw_dc]]&lt;50,"0–49 kW",IF(electric_vehicles_spec_2025_csv[[#This Row],[fast_charging_power_kw_dc]]&lt;100,"50–99 kW",IF(electric_vehicles_spec_2025_csv[[#This Row],[fast_charging_power_kw_dc]]&lt;150,"100–149 kW","150+ kW")))</f>
        <v>150+ kW</v>
      </c>
      <c r="R342" s="16" t="s">
        <v>25</v>
      </c>
      <c r="S342" s="16">
        <v>0</v>
      </c>
      <c r="T342" s="16" t="s">
        <v>887</v>
      </c>
      <c r="U342" s="16">
        <v>5</v>
      </c>
      <c r="V342" s="16" t="s">
        <v>70</v>
      </c>
      <c r="W342" s="16" t="s">
        <v>124</v>
      </c>
      <c r="X342" s="16">
        <v>4963</v>
      </c>
      <c r="Y342" s="16">
        <v>1966</v>
      </c>
      <c r="Z342" s="16">
        <v>1381</v>
      </c>
      <c r="AA342" s="16" t="s">
        <v>125</v>
      </c>
      <c r="AB342" s="16" t="s">
        <v>888</v>
      </c>
    </row>
    <row r="343" spans="1:28" x14ac:dyDescent="0.3">
      <c r="A343" s="16" t="s">
        <v>858</v>
      </c>
      <c r="B343" s="16" t="s">
        <v>889</v>
      </c>
      <c r="C343" s="16">
        <v>250</v>
      </c>
      <c r="D34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43" s="16">
        <v>97</v>
      </c>
      <c r="F343" s="16" t="str">
        <f>IF(electric_vehicles_spec_2025_csv[[#This Row],[battery_capacity_kWh]]&lt;=30, "0–30 kWh", IF(electric_vehicles_spec_2025_csv[[#This Row],[battery_capacity_kWh]]&lt;=60, "31–60 kWh", "61+ kWh"))</f>
        <v>61+ kWh</v>
      </c>
      <c r="G343" s="16" t="s">
        <v>24</v>
      </c>
      <c r="H343" s="16">
        <v>396</v>
      </c>
      <c r="I343" s="16">
        <v>790</v>
      </c>
      <c r="J343" s="16">
        <v>185</v>
      </c>
      <c r="K343" s="16" t="str">
        <f t="shared" si="5"/>
        <v>161+ Wh/km</v>
      </c>
      <c r="L343" s="16">
        <v>505</v>
      </c>
      <c r="M343" s="16" t="str">
        <f>IF(electric_vehicles_spec_2025_csv[[#This Row],[range_km]]&lt;=200, "0–200 km",IF(electric_vehicles_spec_2025_csv[[#This Row],[range_km]]&lt;=400, "201–400 km", "401+ km"))</f>
        <v>401+ km</v>
      </c>
      <c r="N343" s="16">
        <v>3.3</v>
      </c>
      <c r="O343" s="16" t="str">
        <f>IF(electric_vehicles_spec_2025_csv[[#This Row],[acceleration_0_100_s]]&lt;4,"0–3.9 s",IF(electric_vehicles_spec_2025_csv[[#This Row],[acceleration_0_100_s]]&lt;6,"4.0–5.9 s",IF(electric_vehicles_spec_2025_csv[[#This Row],[acceleration_0_100_s]]&lt;8,"6.0–7.9 s","8.0+ s")))</f>
        <v>0–3.9 s</v>
      </c>
      <c r="P343" s="16">
        <v>281</v>
      </c>
      <c r="Q343" s="16" t="str">
        <f>IF(electric_vehicles_spec_2025_csv[[#This Row],[fast_charging_power_kw_dc]]&lt;50,"0–49 kW",IF(electric_vehicles_spec_2025_csv[[#This Row],[fast_charging_power_kw_dc]]&lt;100,"50–99 kW",IF(electric_vehicles_spec_2025_csv[[#This Row],[fast_charging_power_kw_dc]]&lt;150,"100–149 kW","150+ kW")))</f>
        <v>150+ kW</v>
      </c>
      <c r="R343" s="16" t="s">
        <v>25</v>
      </c>
      <c r="S343" s="16">
        <v>0</v>
      </c>
      <c r="T343" s="16" t="s">
        <v>130</v>
      </c>
      <c r="U343" s="16">
        <v>5</v>
      </c>
      <c r="V343" s="16" t="s">
        <v>70</v>
      </c>
      <c r="W343" s="16" t="s">
        <v>124</v>
      </c>
      <c r="X343" s="16">
        <v>4963</v>
      </c>
      <c r="Y343" s="16">
        <v>1966</v>
      </c>
      <c r="Z343" s="16">
        <v>1392</v>
      </c>
      <c r="AA343" s="16" t="s">
        <v>65</v>
      </c>
      <c r="AB343" s="16" t="s">
        <v>890</v>
      </c>
    </row>
    <row r="344" spans="1:28" x14ac:dyDescent="0.3">
      <c r="A344" s="16" t="s">
        <v>858</v>
      </c>
      <c r="B344" s="16" t="s">
        <v>891</v>
      </c>
      <c r="C344" s="16">
        <v>230</v>
      </c>
      <c r="D34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44" s="16">
        <v>97</v>
      </c>
      <c r="F344" s="16" t="str">
        <f>IF(electric_vehicles_spec_2025_csv[[#This Row],[battery_capacity_kWh]]&lt;=30, "0–30 kWh", IF(electric_vehicles_spec_2025_csv[[#This Row],[battery_capacity_kWh]]&lt;=60, "31–60 kWh", "61+ kWh"))</f>
        <v>61+ kWh</v>
      </c>
      <c r="G344" s="16" t="s">
        <v>24</v>
      </c>
      <c r="H344" s="16">
        <v>396</v>
      </c>
      <c r="I344" s="16">
        <v>420</v>
      </c>
      <c r="J344" s="16">
        <v>168</v>
      </c>
      <c r="K344" s="16" t="str">
        <f t="shared" si="5"/>
        <v>161+ Wh/km</v>
      </c>
      <c r="L344" s="16">
        <v>575</v>
      </c>
      <c r="M344" s="16" t="str">
        <f>IF(electric_vehicles_spec_2025_csv[[#This Row],[range_km]]&lt;=200, "0–200 km",IF(electric_vehicles_spec_2025_csv[[#This Row],[range_km]]&lt;=400, "201–400 km", "401+ km"))</f>
        <v>401+ km</v>
      </c>
      <c r="N344" s="16">
        <v>4.8</v>
      </c>
      <c r="O344" s="16" t="str">
        <f>IF(electric_vehicles_spec_2025_csv[[#This Row],[acceleration_0_100_s]]&lt;4,"0–3.9 s",IF(electric_vehicles_spec_2025_csv[[#This Row],[acceleration_0_100_s]]&lt;6,"4.0–5.9 s",IF(electric_vehicles_spec_2025_csv[[#This Row],[acceleration_0_100_s]]&lt;8,"6.0–7.9 s","8.0+ s")))</f>
        <v>4.0–5.9 s</v>
      </c>
      <c r="P344" s="16">
        <v>281</v>
      </c>
      <c r="Q344" s="16" t="str">
        <f>IF(electric_vehicles_spec_2025_csv[[#This Row],[fast_charging_power_kw_dc]]&lt;50,"0–49 kW",IF(electric_vehicles_spec_2025_csv[[#This Row],[fast_charging_power_kw_dc]]&lt;100,"50–99 kW",IF(electric_vehicles_spec_2025_csv[[#This Row],[fast_charging_power_kw_dc]]&lt;150,"100–149 kW","150+ kW")))</f>
        <v>150+ kW</v>
      </c>
      <c r="R344" s="16" t="s">
        <v>25</v>
      </c>
      <c r="S344" s="16">
        <v>0</v>
      </c>
      <c r="T344" s="16" t="s">
        <v>839</v>
      </c>
      <c r="U344" s="16">
        <v>5</v>
      </c>
      <c r="V344" s="16" t="s">
        <v>63</v>
      </c>
      <c r="W344" s="16" t="s">
        <v>124</v>
      </c>
      <c r="X344" s="16">
        <v>4963</v>
      </c>
      <c r="Y344" s="16">
        <v>1966</v>
      </c>
      <c r="Z344" s="16">
        <v>1379</v>
      </c>
      <c r="AA344" s="16" t="s">
        <v>125</v>
      </c>
      <c r="AB344" s="16" t="s">
        <v>892</v>
      </c>
    </row>
    <row r="345" spans="1:28" x14ac:dyDescent="0.3">
      <c r="A345" s="16" t="s">
        <v>858</v>
      </c>
      <c r="B345" s="16" t="s">
        <v>893</v>
      </c>
      <c r="C345" s="16">
        <v>230</v>
      </c>
      <c r="D34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45" s="16">
        <v>97</v>
      </c>
      <c r="F345" s="16" t="str">
        <f>IF(electric_vehicles_spec_2025_csv[[#This Row],[battery_capacity_kWh]]&lt;=30, "0–30 kWh", IF(electric_vehicles_spec_2025_csv[[#This Row],[battery_capacity_kWh]]&lt;=60, "31–60 kWh", "61+ kWh"))</f>
        <v>61+ kWh</v>
      </c>
      <c r="G345" s="16" t="s">
        <v>24</v>
      </c>
      <c r="H345" s="16">
        <v>396</v>
      </c>
      <c r="I345" s="16">
        <v>420</v>
      </c>
      <c r="J345" s="16">
        <v>176</v>
      </c>
      <c r="K345" s="16" t="str">
        <f t="shared" si="5"/>
        <v>161+ Wh/km</v>
      </c>
      <c r="L345" s="16">
        <v>530</v>
      </c>
      <c r="M345" s="16" t="str">
        <f>IF(electric_vehicles_spec_2025_csv[[#This Row],[range_km]]&lt;=200, "0–200 km",IF(electric_vehicles_spec_2025_csv[[#This Row],[range_km]]&lt;=400, "201–400 km", "401+ km"))</f>
        <v>401+ km</v>
      </c>
      <c r="N345" s="16">
        <v>4.8</v>
      </c>
      <c r="O345" s="16" t="str">
        <f>IF(electric_vehicles_spec_2025_csv[[#This Row],[acceleration_0_100_s]]&lt;4,"0–3.9 s",IF(electric_vehicles_spec_2025_csv[[#This Row],[acceleration_0_100_s]]&lt;6,"4.0–5.9 s",IF(electric_vehicles_spec_2025_csv[[#This Row],[acceleration_0_100_s]]&lt;8,"6.0–7.9 s","8.0+ s")))</f>
        <v>4.0–5.9 s</v>
      </c>
      <c r="P345" s="16">
        <v>281</v>
      </c>
      <c r="Q345" s="16" t="str">
        <f>IF(electric_vehicles_spec_2025_csv[[#This Row],[fast_charging_power_kw_dc]]&lt;50,"0–49 kW",IF(electric_vehicles_spec_2025_csv[[#This Row],[fast_charging_power_kw_dc]]&lt;100,"50–99 kW",IF(electric_vehicles_spec_2025_csv[[#This Row],[fast_charging_power_kw_dc]]&lt;150,"100–149 kW","150+ kW")))</f>
        <v>150+ kW</v>
      </c>
      <c r="R345" s="16" t="s">
        <v>25</v>
      </c>
      <c r="S345" s="16">
        <v>0</v>
      </c>
      <c r="T345" s="16" t="s">
        <v>872</v>
      </c>
      <c r="U345" s="16">
        <v>5</v>
      </c>
      <c r="V345" s="16" t="s">
        <v>63</v>
      </c>
      <c r="W345" s="16" t="s">
        <v>124</v>
      </c>
      <c r="X345" s="16">
        <v>4963</v>
      </c>
      <c r="Y345" s="16">
        <v>1966</v>
      </c>
      <c r="Z345" s="16">
        <v>1390</v>
      </c>
      <c r="AA345" s="16" t="s">
        <v>65</v>
      </c>
      <c r="AB345" s="16" t="s">
        <v>894</v>
      </c>
    </row>
    <row r="346" spans="1:28" x14ac:dyDescent="0.3">
      <c r="A346" s="16" t="s">
        <v>858</v>
      </c>
      <c r="B346" s="16" t="s">
        <v>895</v>
      </c>
      <c r="C346" s="16">
        <v>230</v>
      </c>
      <c r="D34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225–249 km/h</v>
      </c>
      <c r="E346" s="16">
        <v>82.3</v>
      </c>
      <c r="F346" s="16" t="str">
        <f>IF(electric_vehicles_spec_2025_csv[[#This Row],[battery_capacity_kWh]]&lt;=30, "0–30 kWh", IF(electric_vehicles_spec_2025_csv[[#This Row],[battery_capacity_kWh]]&lt;=60, "31–60 kWh", "61+ kWh"))</f>
        <v>61+ kWh</v>
      </c>
      <c r="G346" s="16" t="s">
        <v>24</v>
      </c>
      <c r="H346" s="16"/>
      <c r="I346" s="16">
        <v>410</v>
      </c>
      <c r="J346" s="16">
        <v>173</v>
      </c>
      <c r="K346" s="16" t="str">
        <f t="shared" si="5"/>
        <v>161+ Wh/km</v>
      </c>
      <c r="L346" s="16">
        <v>460</v>
      </c>
      <c r="M346" s="16" t="str">
        <f>IF(electric_vehicles_spec_2025_csv[[#This Row],[range_km]]&lt;=200, "0–200 km",IF(electric_vehicles_spec_2025_csv[[#This Row],[range_km]]&lt;=400, "201–400 km", "401+ km"))</f>
        <v>401+ km</v>
      </c>
      <c r="N346" s="16">
        <v>4.8</v>
      </c>
      <c r="O346" s="16" t="str">
        <f>IF(electric_vehicles_spec_2025_csv[[#This Row],[acceleration_0_100_s]]&lt;4,"0–3.9 s",IF(electric_vehicles_spec_2025_csv[[#This Row],[acceleration_0_100_s]]&lt;6,"4.0–5.9 s",IF(electric_vehicles_spec_2025_csv[[#This Row],[acceleration_0_100_s]]&lt;8,"6.0–7.9 s","8.0+ s")))</f>
        <v>4.0–5.9 s</v>
      </c>
      <c r="P346" s="16">
        <v>195</v>
      </c>
      <c r="Q346" s="16" t="str">
        <f>IF(electric_vehicles_spec_2025_csv[[#This Row],[fast_charging_power_kw_dc]]&lt;50,"0–49 kW",IF(electric_vehicles_spec_2025_csv[[#This Row],[fast_charging_power_kw_dc]]&lt;100,"50–99 kW",IF(electric_vehicles_spec_2025_csv[[#This Row],[fast_charging_power_kw_dc]]&lt;150,"100–149 kW","150+ kW")))</f>
        <v>150+ kW</v>
      </c>
      <c r="R346" s="16" t="s">
        <v>25</v>
      </c>
      <c r="S346" s="16">
        <v>0</v>
      </c>
      <c r="T346" s="16" t="s">
        <v>872</v>
      </c>
      <c r="U346" s="16">
        <v>5</v>
      </c>
      <c r="V346" s="16" t="s">
        <v>63</v>
      </c>
      <c r="W346" s="16" t="s">
        <v>124</v>
      </c>
      <c r="X346" s="16">
        <v>4963</v>
      </c>
      <c r="Y346" s="16">
        <v>1966</v>
      </c>
      <c r="Z346" s="16">
        <v>1390</v>
      </c>
      <c r="AA346" s="16" t="s">
        <v>65</v>
      </c>
      <c r="AB346" s="16" t="s">
        <v>896</v>
      </c>
    </row>
    <row r="347" spans="1:28" x14ac:dyDescent="0.3">
      <c r="A347" s="16" t="s">
        <v>858</v>
      </c>
      <c r="B347" s="16" t="s">
        <v>897</v>
      </c>
      <c r="C347" s="16">
        <v>260</v>
      </c>
      <c r="D34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47" s="16">
        <v>97</v>
      </c>
      <c r="F347" s="16" t="str">
        <f>IF(electric_vehicles_spec_2025_csv[[#This Row],[battery_capacity_kWh]]&lt;=30, "0–30 kWh", IF(electric_vehicles_spec_2025_csv[[#This Row],[battery_capacity_kWh]]&lt;=60, "31–60 kWh", "61+ kWh"))</f>
        <v>61+ kWh</v>
      </c>
      <c r="G347" s="16" t="s">
        <v>24</v>
      </c>
      <c r="H347" s="16">
        <v>396</v>
      </c>
      <c r="I347" s="16">
        <v>940</v>
      </c>
      <c r="J347" s="16">
        <v>174</v>
      </c>
      <c r="K347" s="16" t="str">
        <f t="shared" si="5"/>
        <v>161+ Wh/km</v>
      </c>
      <c r="L347" s="16">
        <v>535</v>
      </c>
      <c r="M347" s="16" t="str">
        <f>IF(electric_vehicles_spec_2025_csv[[#This Row],[range_km]]&lt;=200, "0–200 km",IF(electric_vehicles_spec_2025_csv[[#This Row],[range_km]]&lt;=400, "201–400 km", "401+ km"))</f>
        <v>401+ km</v>
      </c>
      <c r="N347" s="16">
        <v>2.7</v>
      </c>
      <c r="O347" s="16" t="str">
        <f>IF(electric_vehicles_spec_2025_csv[[#This Row],[acceleration_0_100_s]]&lt;4,"0–3.9 s",IF(electric_vehicles_spec_2025_csv[[#This Row],[acceleration_0_100_s]]&lt;6,"4.0–5.9 s",IF(electric_vehicles_spec_2025_csv[[#This Row],[acceleration_0_100_s]]&lt;8,"6.0–7.9 s","8.0+ s")))</f>
        <v>0–3.9 s</v>
      </c>
      <c r="P347" s="16">
        <v>281</v>
      </c>
      <c r="Q347" s="16" t="str">
        <f>IF(electric_vehicles_spec_2025_csv[[#This Row],[fast_charging_power_kw_dc]]&lt;50,"0–49 kW",IF(electric_vehicles_spec_2025_csv[[#This Row],[fast_charging_power_kw_dc]]&lt;100,"50–99 kW",IF(electric_vehicles_spec_2025_csv[[#This Row],[fast_charging_power_kw_dc]]&lt;150,"100–149 kW","150+ kW")))</f>
        <v>150+ kW</v>
      </c>
      <c r="R347" s="16" t="s">
        <v>25</v>
      </c>
      <c r="S347" s="16">
        <v>0</v>
      </c>
      <c r="T347" s="16" t="s">
        <v>887</v>
      </c>
      <c r="U347" s="16">
        <v>5</v>
      </c>
      <c r="V347" s="16" t="s">
        <v>70</v>
      </c>
      <c r="W347" s="16" t="s">
        <v>124</v>
      </c>
      <c r="X347" s="16">
        <v>4963</v>
      </c>
      <c r="Y347" s="16">
        <v>1966</v>
      </c>
      <c r="Z347" s="16">
        <v>1379</v>
      </c>
      <c r="AA347" s="16" t="s">
        <v>125</v>
      </c>
      <c r="AB347" s="16" t="s">
        <v>898</v>
      </c>
    </row>
    <row r="348" spans="1:28" x14ac:dyDescent="0.3">
      <c r="A348" s="16" t="s">
        <v>858</v>
      </c>
      <c r="B348" s="16" t="s">
        <v>899</v>
      </c>
      <c r="C348" s="16">
        <v>250</v>
      </c>
      <c r="D34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48" s="16">
        <v>97</v>
      </c>
      <c r="F348" s="16" t="str">
        <f>IF(electric_vehicles_spec_2025_csv[[#This Row],[battery_capacity_kWh]]&lt;=30, "0–30 kWh", IF(electric_vehicles_spec_2025_csv[[#This Row],[battery_capacity_kWh]]&lt;=60, "31–60 kWh", "61+ kWh"))</f>
        <v>61+ kWh</v>
      </c>
      <c r="G348" s="16" t="s">
        <v>24</v>
      </c>
      <c r="H348" s="16">
        <v>396</v>
      </c>
      <c r="I348" s="16">
        <v>940</v>
      </c>
      <c r="J348" s="16">
        <v>188</v>
      </c>
      <c r="K348" s="16" t="str">
        <f t="shared" si="5"/>
        <v>161+ Wh/km</v>
      </c>
      <c r="L348" s="16">
        <v>495</v>
      </c>
      <c r="M348" s="16" t="str">
        <f>IF(electric_vehicles_spec_2025_csv[[#This Row],[range_km]]&lt;=200, "0–200 km",IF(electric_vehicles_spec_2025_csv[[#This Row],[range_km]]&lt;=400, "201–400 km", "401+ km"))</f>
        <v>401+ km</v>
      </c>
      <c r="N348" s="16">
        <v>2.8</v>
      </c>
      <c r="O348" s="16" t="str">
        <f>IF(electric_vehicles_spec_2025_csv[[#This Row],[acceleration_0_100_s]]&lt;4,"0–3.9 s",IF(electric_vehicles_spec_2025_csv[[#This Row],[acceleration_0_100_s]]&lt;6,"4.0–5.9 s",IF(electric_vehicles_spec_2025_csv[[#This Row],[acceleration_0_100_s]]&lt;8,"6.0–7.9 s","8.0+ s")))</f>
        <v>0–3.9 s</v>
      </c>
      <c r="P348" s="16">
        <v>281</v>
      </c>
      <c r="Q348" s="16" t="str">
        <f>IF(electric_vehicles_spec_2025_csv[[#This Row],[fast_charging_power_kw_dc]]&lt;50,"0–49 kW",IF(electric_vehicles_spec_2025_csv[[#This Row],[fast_charging_power_kw_dc]]&lt;100,"50–99 kW",IF(electric_vehicles_spec_2025_csv[[#This Row],[fast_charging_power_kw_dc]]&lt;150,"100–149 kW","150+ kW")))</f>
        <v>150+ kW</v>
      </c>
      <c r="R348" s="16" t="s">
        <v>25</v>
      </c>
      <c r="S348" s="16">
        <v>0</v>
      </c>
      <c r="T348" s="16" t="s">
        <v>130</v>
      </c>
      <c r="U348" s="16">
        <v>5</v>
      </c>
      <c r="V348" s="16" t="s">
        <v>70</v>
      </c>
      <c r="W348" s="16" t="s">
        <v>124</v>
      </c>
      <c r="X348" s="16">
        <v>4974</v>
      </c>
      <c r="Y348" s="16">
        <v>1967</v>
      </c>
      <c r="Z348" s="16">
        <v>1412</v>
      </c>
      <c r="AA348" s="16" t="s">
        <v>65</v>
      </c>
      <c r="AB348" s="16" t="s">
        <v>900</v>
      </c>
    </row>
    <row r="349" spans="1:28" x14ac:dyDescent="0.3">
      <c r="A349" s="16" t="s">
        <v>858</v>
      </c>
      <c r="B349" s="16" t="s">
        <v>901</v>
      </c>
      <c r="C349" s="16">
        <v>290</v>
      </c>
      <c r="D34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275–299 km/h</v>
      </c>
      <c r="E349" s="16">
        <v>97</v>
      </c>
      <c r="F349" s="16" t="str">
        <f>IF(electric_vehicles_spec_2025_csv[[#This Row],[battery_capacity_kWh]]&lt;=30, "0–30 kWh", IF(electric_vehicles_spec_2025_csv[[#This Row],[battery_capacity_kWh]]&lt;=60, "31–60 kWh", "61+ kWh"))</f>
        <v>61+ kWh</v>
      </c>
      <c r="G349" s="16" t="s">
        <v>24</v>
      </c>
      <c r="H349" s="16">
        <v>396</v>
      </c>
      <c r="I349" s="16">
        <v>1340</v>
      </c>
      <c r="J349" s="16">
        <v>184</v>
      </c>
      <c r="K349" s="16" t="str">
        <f t="shared" si="5"/>
        <v>161+ Wh/km</v>
      </c>
      <c r="L349" s="16">
        <v>475</v>
      </c>
      <c r="M349" s="16" t="str">
        <f>IF(electric_vehicles_spec_2025_csv[[#This Row],[range_km]]&lt;=200, "0–200 km",IF(electric_vehicles_spec_2025_csv[[#This Row],[range_km]]&lt;=400, "201–400 km", "401+ km"))</f>
        <v>401+ km</v>
      </c>
      <c r="N349" s="16">
        <v>2.2999999999999998</v>
      </c>
      <c r="O349" s="16" t="str">
        <f>IF(electric_vehicles_spec_2025_csv[[#This Row],[acceleration_0_100_s]]&lt;4,"0–3.9 s",IF(electric_vehicles_spec_2025_csv[[#This Row],[acceleration_0_100_s]]&lt;6,"4.0–5.9 s",IF(electric_vehicles_spec_2025_csv[[#This Row],[acceleration_0_100_s]]&lt;8,"6.0–7.9 s","8.0+ s")))</f>
        <v>0–3.9 s</v>
      </c>
      <c r="P349" s="16">
        <v>281</v>
      </c>
      <c r="Q349" s="16" t="str">
        <f>IF(electric_vehicles_spec_2025_csv[[#This Row],[fast_charging_power_kw_dc]]&lt;50,"0–49 kW",IF(electric_vehicles_spec_2025_csv[[#This Row],[fast_charging_power_kw_dc]]&lt;100,"50–99 kW",IF(electric_vehicles_spec_2025_csv[[#This Row],[fast_charging_power_kw_dc]]&lt;150,"100–149 kW","150+ kW")))</f>
        <v>150+ kW</v>
      </c>
      <c r="R349" s="16" t="s">
        <v>25</v>
      </c>
      <c r="S349" s="16">
        <v>0</v>
      </c>
      <c r="T349" s="16" t="s">
        <v>56</v>
      </c>
      <c r="U349" s="16">
        <v>5</v>
      </c>
      <c r="V349" s="16" t="s">
        <v>70</v>
      </c>
      <c r="W349" s="16" t="s">
        <v>124</v>
      </c>
      <c r="X349" s="16">
        <v>4968</v>
      </c>
      <c r="Y349" s="16">
        <v>1966</v>
      </c>
      <c r="Z349" s="16">
        <v>1378</v>
      </c>
      <c r="AA349" s="16" t="s">
        <v>125</v>
      </c>
      <c r="AB349" s="16" t="s">
        <v>902</v>
      </c>
    </row>
    <row r="350" spans="1:28" x14ac:dyDescent="0.3">
      <c r="A350" s="16" t="s">
        <v>858</v>
      </c>
      <c r="B350" s="16" t="s">
        <v>903</v>
      </c>
      <c r="C350" s="16">
        <v>305</v>
      </c>
      <c r="D35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300–325 km/h</v>
      </c>
      <c r="E350" s="16">
        <v>97</v>
      </c>
      <c r="F350" s="16" t="str">
        <f>IF(electric_vehicles_spec_2025_csv[[#This Row],[battery_capacity_kWh]]&lt;=30, "0–30 kWh", IF(electric_vehicles_spec_2025_csv[[#This Row],[battery_capacity_kWh]]&lt;=60, "31–60 kWh", "61+ kWh"))</f>
        <v>61+ kWh</v>
      </c>
      <c r="G350" s="16" t="s">
        <v>24</v>
      </c>
      <c r="H350" s="16">
        <v>396</v>
      </c>
      <c r="I350" s="16">
        <v>1340</v>
      </c>
      <c r="J350" s="16">
        <v>180</v>
      </c>
      <c r="K350" s="16" t="str">
        <f t="shared" si="5"/>
        <v>161+ Wh/km</v>
      </c>
      <c r="L350" s="16">
        <v>475</v>
      </c>
      <c r="M350" s="16" t="str">
        <f>IF(electric_vehicles_spec_2025_csv[[#This Row],[range_km]]&lt;=200, "0–200 km",IF(electric_vehicles_spec_2025_csv[[#This Row],[range_km]]&lt;=400, "201–400 km", "401+ km"))</f>
        <v>401+ km</v>
      </c>
      <c r="N350" s="16">
        <v>2.2000000000000002</v>
      </c>
      <c r="O350" s="16" t="str">
        <f>IF(electric_vehicles_spec_2025_csv[[#This Row],[acceleration_0_100_s]]&lt;4,"0–3.9 s",IF(electric_vehicles_spec_2025_csv[[#This Row],[acceleration_0_100_s]]&lt;6,"4.0–5.9 s",IF(electric_vehicles_spec_2025_csv[[#This Row],[acceleration_0_100_s]]&lt;8,"6.0–7.9 s","8.0+ s")))</f>
        <v>0–3.9 s</v>
      </c>
      <c r="P350" s="16">
        <v>281</v>
      </c>
      <c r="Q350" s="16" t="str">
        <f>IF(electric_vehicles_spec_2025_csv[[#This Row],[fast_charging_power_kw_dc]]&lt;50,"0–49 kW",IF(electric_vehicles_spec_2025_csv[[#This Row],[fast_charging_power_kw_dc]]&lt;100,"50–99 kW",IF(electric_vehicles_spec_2025_csv[[#This Row],[fast_charging_power_kw_dc]]&lt;150,"100–149 kW","150+ kW")))</f>
        <v>150+ kW</v>
      </c>
      <c r="R350" s="16" t="s">
        <v>25</v>
      </c>
      <c r="S350" s="16">
        <v>0</v>
      </c>
      <c r="T350" s="16" t="s">
        <v>904</v>
      </c>
      <c r="U350" s="16">
        <v>2</v>
      </c>
      <c r="V350" s="16" t="s">
        <v>70</v>
      </c>
      <c r="W350" s="16" t="s">
        <v>124</v>
      </c>
      <c r="X350" s="16">
        <v>4968</v>
      </c>
      <c r="Y350" s="16">
        <v>1966</v>
      </c>
      <c r="Z350" s="16">
        <v>1378</v>
      </c>
      <c r="AA350" s="16" t="s">
        <v>125</v>
      </c>
      <c r="AB350" s="16" t="s">
        <v>905</v>
      </c>
    </row>
    <row r="351" spans="1:28" x14ac:dyDescent="0.3">
      <c r="A351" s="16" t="s">
        <v>858</v>
      </c>
      <c r="B351" s="16" t="s">
        <v>906</v>
      </c>
      <c r="C351" s="16">
        <v>260</v>
      </c>
      <c r="D35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51" s="16">
        <v>97</v>
      </c>
      <c r="F351" s="16" t="str">
        <f>IF(electric_vehicles_spec_2025_csv[[#This Row],[battery_capacity_kWh]]&lt;=30, "0–30 kWh", IF(electric_vehicles_spec_2025_csv[[#This Row],[battery_capacity_kWh]]&lt;=60, "31–60 kWh", "61+ kWh"))</f>
        <v>61+ kWh</v>
      </c>
      <c r="G351" s="16" t="s">
        <v>24</v>
      </c>
      <c r="H351" s="16">
        <v>396</v>
      </c>
      <c r="I351" s="16">
        <v>1110</v>
      </c>
      <c r="J351" s="16">
        <v>174</v>
      </c>
      <c r="K351" s="16" t="str">
        <f t="shared" si="5"/>
        <v>161+ Wh/km</v>
      </c>
      <c r="L351" s="16">
        <v>525</v>
      </c>
      <c r="M351" s="16" t="str">
        <f>IF(electric_vehicles_spec_2025_csv[[#This Row],[range_km]]&lt;=200, "0–200 km",IF(electric_vehicles_spec_2025_csv[[#This Row],[range_km]]&lt;=400, "201–400 km", "401+ km"))</f>
        <v>401+ km</v>
      </c>
      <c r="N351" s="16">
        <v>2.4</v>
      </c>
      <c r="O351" s="16" t="str">
        <f>IF(electric_vehicles_spec_2025_csv[[#This Row],[acceleration_0_100_s]]&lt;4,"0–3.9 s",IF(electric_vehicles_spec_2025_csv[[#This Row],[acceleration_0_100_s]]&lt;6,"4.0–5.9 s",IF(electric_vehicles_spec_2025_csv[[#This Row],[acceleration_0_100_s]]&lt;8,"6.0–7.9 s","8.0+ s")))</f>
        <v>0–3.9 s</v>
      </c>
      <c r="P351" s="16">
        <v>281</v>
      </c>
      <c r="Q351" s="16" t="str">
        <f>IF(electric_vehicles_spec_2025_csv[[#This Row],[fast_charging_power_kw_dc]]&lt;50,"0–49 kW",IF(electric_vehicles_spec_2025_csv[[#This Row],[fast_charging_power_kw_dc]]&lt;100,"50–99 kW",IF(electric_vehicles_spec_2025_csv[[#This Row],[fast_charging_power_kw_dc]]&lt;150,"100–149 kW","150+ kW")))</f>
        <v>150+ kW</v>
      </c>
      <c r="R351" s="16" t="s">
        <v>25</v>
      </c>
      <c r="S351" s="16">
        <v>0</v>
      </c>
      <c r="T351" s="16" t="s">
        <v>887</v>
      </c>
      <c r="U351" s="16">
        <v>5</v>
      </c>
      <c r="V351" s="16" t="s">
        <v>70</v>
      </c>
      <c r="W351" s="16" t="s">
        <v>124</v>
      </c>
      <c r="X351" s="16">
        <v>4963</v>
      </c>
      <c r="Y351" s="16">
        <v>1966</v>
      </c>
      <c r="Z351" s="16">
        <v>1378</v>
      </c>
      <c r="AA351" s="16" t="s">
        <v>125</v>
      </c>
      <c r="AB351" s="16" t="s">
        <v>907</v>
      </c>
    </row>
    <row r="352" spans="1:28" x14ac:dyDescent="0.3">
      <c r="A352" s="16" t="s">
        <v>858</v>
      </c>
      <c r="B352" s="16" t="s">
        <v>908</v>
      </c>
      <c r="C352" s="16">
        <v>250</v>
      </c>
      <c r="D35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52" s="16">
        <v>97</v>
      </c>
      <c r="F352" s="16" t="str">
        <f>IF(electric_vehicles_spec_2025_csv[[#This Row],[battery_capacity_kWh]]&lt;=30, "0–30 kWh", IF(electric_vehicles_spec_2025_csv[[#This Row],[battery_capacity_kWh]]&lt;=60, "31–60 kWh", "61+ kWh"))</f>
        <v>61+ kWh</v>
      </c>
      <c r="G352" s="16" t="s">
        <v>24</v>
      </c>
      <c r="H352" s="16">
        <v>396</v>
      </c>
      <c r="I352" s="16">
        <v>1110</v>
      </c>
      <c r="J352" s="16">
        <v>188</v>
      </c>
      <c r="K352" s="16" t="str">
        <f t="shared" si="5"/>
        <v>161+ Wh/km</v>
      </c>
      <c r="L352" s="16">
        <v>485</v>
      </c>
      <c r="M352" s="16" t="str">
        <f>IF(electric_vehicles_spec_2025_csv[[#This Row],[range_km]]&lt;=200, "0–200 km",IF(electric_vehicles_spec_2025_csv[[#This Row],[range_km]]&lt;=400, "201–400 km", "401+ km"))</f>
        <v>401+ km</v>
      </c>
      <c r="N352" s="16">
        <v>2.5</v>
      </c>
      <c r="O352" s="16" t="str">
        <f>IF(electric_vehicles_spec_2025_csv[[#This Row],[acceleration_0_100_s]]&lt;4,"0–3.9 s",IF(electric_vehicles_spec_2025_csv[[#This Row],[acceleration_0_100_s]]&lt;6,"4.0–5.9 s",IF(electric_vehicles_spec_2025_csv[[#This Row],[acceleration_0_100_s]]&lt;8,"6.0–7.9 s","8.0+ s")))</f>
        <v>0–3.9 s</v>
      </c>
      <c r="P352" s="16">
        <v>281</v>
      </c>
      <c r="Q352" s="16" t="str">
        <f>IF(electric_vehicles_spec_2025_csv[[#This Row],[fast_charging_power_kw_dc]]&lt;50,"0–49 kW",IF(electric_vehicles_spec_2025_csv[[#This Row],[fast_charging_power_kw_dc]]&lt;100,"50–99 kW",IF(electric_vehicles_spec_2025_csv[[#This Row],[fast_charging_power_kw_dc]]&lt;150,"100–149 kW","150+ kW")))</f>
        <v>150+ kW</v>
      </c>
      <c r="R352" s="16" t="s">
        <v>25</v>
      </c>
      <c r="S352" s="16">
        <v>0</v>
      </c>
      <c r="T352" s="16" t="s">
        <v>130</v>
      </c>
      <c r="U352" s="16">
        <v>5</v>
      </c>
      <c r="V352" s="16" t="s">
        <v>70</v>
      </c>
      <c r="W352" s="16" t="s">
        <v>124</v>
      </c>
      <c r="X352" s="16">
        <v>4974</v>
      </c>
      <c r="Y352" s="16">
        <v>1967</v>
      </c>
      <c r="Z352" s="16">
        <v>1407</v>
      </c>
      <c r="AA352" s="16" t="s">
        <v>65</v>
      </c>
      <c r="AB352" s="16" t="s">
        <v>909</v>
      </c>
    </row>
    <row r="353" spans="1:28" x14ac:dyDescent="0.3">
      <c r="A353" s="16" t="s">
        <v>858</v>
      </c>
      <c r="B353" s="16" t="s">
        <v>910</v>
      </c>
      <c r="C353" s="16">
        <v>260</v>
      </c>
      <c r="D35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53" s="16">
        <v>97</v>
      </c>
      <c r="F353" s="16" t="str">
        <f>IF(electric_vehicles_spec_2025_csv[[#This Row],[battery_capacity_kWh]]&lt;=30, "0–30 kWh", IF(electric_vehicles_spec_2025_csv[[#This Row],[battery_capacity_kWh]]&lt;=60, "31–60 kWh", "61+ kWh"))</f>
        <v>61+ kWh</v>
      </c>
      <c r="G353" s="16" t="s">
        <v>24</v>
      </c>
      <c r="H353" s="16">
        <v>396</v>
      </c>
      <c r="I353" s="16">
        <v>1110</v>
      </c>
      <c r="J353" s="16">
        <v>183</v>
      </c>
      <c r="K353" s="16" t="str">
        <f t="shared" si="5"/>
        <v>161+ Wh/km</v>
      </c>
      <c r="L353" s="16">
        <v>505</v>
      </c>
      <c r="M353" s="16" t="str">
        <f>IF(electric_vehicles_spec_2025_csv[[#This Row],[range_km]]&lt;=200, "0–200 km",IF(electric_vehicles_spec_2025_csv[[#This Row],[range_km]]&lt;=400, "201–400 km", "401+ km"))</f>
        <v>401+ km</v>
      </c>
      <c r="N353" s="16">
        <v>2.4</v>
      </c>
      <c r="O353" s="16" t="str">
        <f>IF(electric_vehicles_spec_2025_csv[[#This Row],[acceleration_0_100_s]]&lt;4,"0–3.9 s",IF(electric_vehicles_spec_2025_csv[[#This Row],[acceleration_0_100_s]]&lt;6,"4.0–5.9 s",IF(electric_vehicles_spec_2025_csv[[#This Row],[acceleration_0_100_s]]&lt;8,"6.0–7.9 s","8.0+ s")))</f>
        <v>0–3.9 s</v>
      </c>
      <c r="P353" s="16">
        <v>281</v>
      </c>
      <c r="Q353" s="16" t="str">
        <f>IF(electric_vehicles_spec_2025_csv[[#This Row],[fast_charging_power_kw_dc]]&lt;50,"0–49 kW",IF(electric_vehicles_spec_2025_csv[[#This Row],[fast_charging_power_kw_dc]]&lt;100,"50–99 kW",IF(electric_vehicles_spec_2025_csv[[#This Row],[fast_charging_power_kw_dc]]&lt;150,"100–149 kW","150+ kW")))</f>
        <v>150+ kW</v>
      </c>
      <c r="R353" s="16" t="s">
        <v>25</v>
      </c>
      <c r="S353" s="16">
        <v>0</v>
      </c>
      <c r="T353" s="16" t="s">
        <v>130</v>
      </c>
      <c r="U353" s="16">
        <v>5</v>
      </c>
      <c r="V353" s="16" t="s">
        <v>70</v>
      </c>
      <c r="W353" s="16" t="s">
        <v>124</v>
      </c>
      <c r="X353" s="16">
        <v>4963</v>
      </c>
      <c r="Y353" s="16">
        <v>1966</v>
      </c>
      <c r="Z353" s="16">
        <v>1388</v>
      </c>
      <c r="AA353" s="16" t="s">
        <v>65</v>
      </c>
      <c r="AB353" s="16" t="s">
        <v>911</v>
      </c>
    </row>
    <row r="354" spans="1:28" x14ac:dyDescent="0.3">
      <c r="A354" s="16" t="s">
        <v>858</v>
      </c>
      <c r="B354" s="16" t="s">
        <v>912</v>
      </c>
      <c r="C354" s="16">
        <v>260</v>
      </c>
      <c r="D35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54" s="16">
        <v>97</v>
      </c>
      <c r="F354" s="16" t="str">
        <f>IF(electric_vehicles_spec_2025_csv[[#This Row],[battery_capacity_kWh]]&lt;=30, "0–30 kWh", IF(electric_vehicles_spec_2025_csv[[#This Row],[battery_capacity_kWh]]&lt;=60, "31–60 kWh", "61+ kWh"))</f>
        <v>61+ kWh</v>
      </c>
      <c r="G354" s="16" t="s">
        <v>24</v>
      </c>
      <c r="H354" s="16">
        <v>396</v>
      </c>
      <c r="I354" s="16">
        <v>940</v>
      </c>
      <c r="J354" s="16">
        <v>184</v>
      </c>
      <c r="K354" s="16" t="str">
        <f t="shared" si="5"/>
        <v>161+ Wh/km</v>
      </c>
      <c r="L354" s="16">
        <v>505</v>
      </c>
      <c r="M354" s="16" t="str">
        <f>IF(electric_vehicles_spec_2025_csv[[#This Row],[range_km]]&lt;=200, "0–200 km",IF(electric_vehicles_spec_2025_csv[[#This Row],[range_km]]&lt;=400, "201–400 km", "401+ km"))</f>
        <v>401+ km</v>
      </c>
      <c r="N354" s="16">
        <v>2.7</v>
      </c>
      <c r="O354" s="16" t="str">
        <f>IF(electric_vehicles_spec_2025_csv[[#This Row],[acceleration_0_100_s]]&lt;4,"0–3.9 s",IF(electric_vehicles_spec_2025_csv[[#This Row],[acceleration_0_100_s]]&lt;6,"4.0–5.9 s",IF(electric_vehicles_spec_2025_csv[[#This Row],[acceleration_0_100_s]]&lt;8,"6.0–7.9 s","8.0+ s")))</f>
        <v>0–3.9 s</v>
      </c>
      <c r="P354" s="16">
        <v>281</v>
      </c>
      <c r="Q354" s="16" t="str">
        <f>IF(electric_vehicles_spec_2025_csv[[#This Row],[fast_charging_power_kw_dc]]&lt;50,"0–49 kW",IF(electric_vehicles_spec_2025_csv[[#This Row],[fast_charging_power_kw_dc]]&lt;100,"50–99 kW",IF(electric_vehicles_spec_2025_csv[[#This Row],[fast_charging_power_kw_dc]]&lt;150,"100–149 kW","150+ kW")))</f>
        <v>150+ kW</v>
      </c>
      <c r="R354" s="16" t="s">
        <v>25</v>
      </c>
      <c r="S354" s="16">
        <v>0</v>
      </c>
      <c r="T354" s="16" t="s">
        <v>130</v>
      </c>
      <c r="U354" s="16">
        <v>5</v>
      </c>
      <c r="V354" s="16" t="s">
        <v>70</v>
      </c>
      <c r="W354" s="16" t="s">
        <v>124</v>
      </c>
      <c r="X354" s="16">
        <v>4963</v>
      </c>
      <c r="Y354" s="16">
        <v>1966</v>
      </c>
      <c r="Z354" s="16">
        <v>1392</v>
      </c>
      <c r="AA354" s="16" t="s">
        <v>65</v>
      </c>
      <c r="AB354" s="16" t="s">
        <v>913</v>
      </c>
    </row>
    <row r="355" spans="1:28" x14ac:dyDescent="0.3">
      <c r="A355" s="16" t="s">
        <v>914</v>
      </c>
      <c r="B355" s="16" t="s">
        <v>915</v>
      </c>
      <c r="C355" s="16">
        <v>150</v>
      </c>
      <c r="D35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55" s="16">
        <v>40</v>
      </c>
      <c r="F355" s="16" t="str">
        <f>IF(electric_vehicles_spec_2025_csv[[#This Row],[battery_capacity_kWh]]&lt;=30, "0–30 kWh", IF(electric_vehicles_spec_2025_csv[[#This Row],[battery_capacity_kWh]]&lt;=60, "31–60 kWh", "61+ kWh"))</f>
        <v>31–60 kWh</v>
      </c>
      <c r="G355" s="16" t="s">
        <v>24</v>
      </c>
      <c r="H355" s="16">
        <v>93</v>
      </c>
      <c r="I355" s="16">
        <v>225</v>
      </c>
      <c r="J355" s="16">
        <v>124</v>
      </c>
      <c r="K355" s="16" t="str">
        <f t="shared" si="5"/>
        <v>0–130 Wh/km</v>
      </c>
      <c r="L355" s="16">
        <v>245</v>
      </c>
      <c r="M355" s="16" t="str">
        <f>IF(electric_vehicles_spec_2025_csv[[#This Row],[range_km]]&lt;=200, "0–200 km",IF(electric_vehicles_spec_2025_csv[[#This Row],[range_km]]&lt;=400, "201–400 km", "401+ km"))</f>
        <v>201–400 km</v>
      </c>
      <c r="N355" s="16">
        <v>9.1999999999999993</v>
      </c>
      <c r="O355" s="16" t="str">
        <f>IF(electric_vehicles_spec_2025_csv[[#This Row],[acceleration_0_100_s]]&lt;4,"0–3.9 s",IF(electric_vehicles_spec_2025_csv[[#This Row],[acceleration_0_100_s]]&lt;6,"4.0–5.9 s",IF(electric_vehicles_spec_2025_csv[[#This Row],[acceleration_0_100_s]]&lt;8,"6.0–7.9 s","8.0+ s")))</f>
        <v>8.0+ s</v>
      </c>
      <c r="P355" s="16">
        <v>55</v>
      </c>
      <c r="Q355" s="16" t="str">
        <f>IF(electric_vehicles_spec_2025_csv[[#This Row],[fast_charging_power_kw_dc]]&lt;50,"0–49 kW",IF(electric_vehicles_spec_2025_csv[[#This Row],[fast_charging_power_kw_dc]]&lt;100,"50–99 kW",IF(electric_vehicles_spec_2025_csv[[#This Row],[fast_charging_power_kw_dc]]&lt;150,"100–149 kW","150+ kW")))</f>
        <v>50–99 kW</v>
      </c>
      <c r="R355" s="16" t="s">
        <v>25</v>
      </c>
      <c r="S355" s="16">
        <v>750</v>
      </c>
      <c r="T355" s="16" t="s">
        <v>916</v>
      </c>
      <c r="U355" s="16">
        <v>5</v>
      </c>
      <c r="V355" s="16" t="s">
        <v>27</v>
      </c>
      <c r="W355" s="16" t="s">
        <v>35</v>
      </c>
      <c r="X355" s="16">
        <v>4143</v>
      </c>
      <c r="Y355" s="16">
        <v>1796</v>
      </c>
      <c r="Z355" s="16">
        <v>1552</v>
      </c>
      <c r="AA355" s="16" t="s">
        <v>36</v>
      </c>
      <c r="AB355" s="16" t="s">
        <v>917</v>
      </c>
    </row>
    <row r="356" spans="1:28" x14ac:dyDescent="0.3">
      <c r="A356" s="16" t="s">
        <v>914</v>
      </c>
      <c r="B356" s="16" t="s">
        <v>918</v>
      </c>
      <c r="C356" s="16">
        <v>150</v>
      </c>
      <c r="D35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56" s="16">
        <v>52</v>
      </c>
      <c r="F356" s="16" t="str">
        <f>IF(electric_vehicles_spec_2025_csv[[#This Row],[battery_capacity_kWh]]&lt;=30, "0–30 kWh", IF(electric_vehicles_spec_2025_csv[[#This Row],[battery_capacity_kWh]]&lt;=60, "31–60 kWh", "61+ kWh"))</f>
        <v>31–60 kWh</v>
      </c>
      <c r="G356" s="16" t="s">
        <v>24</v>
      </c>
      <c r="H356" s="16">
        <v>184</v>
      </c>
      <c r="I356" s="16">
        <v>245</v>
      </c>
      <c r="J356" s="16">
        <v>127</v>
      </c>
      <c r="K356" s="16" t="str">
        <f t="shared" si="5"/>
        <v>0–130 Wh/km</v>
      </c>
      <c r="L356" s="16">
        <v>315</v>
      </c>
      <c r="M356" s="16" t="str">
        <f>IF(electric_vehicles_spec_2025_csv[[#This Row],[range_km]]&lt;=200, "0–200 km",IF(electric_vehicles_spec_2025_csv[[#This Row],[range_km]]&lt;=400, "201–400 km", "401+ km"))</f>
        <v>201–400 km</v>
      </c>
      <c r="N356" s="16">
        <v>8.1999999999999993</v>
      </c>
      <c r="O356" s="16" t="str">
        <f>IF(electric_vehicles_spec_2025_csv[[#This Row],[acceleration_0_100_s]]&lt;4,"0–3.9 s",IF(electric_vehicles_spec_2025_csv[[#This Row],[acceleration_0_100_s]]&lt;6,"4.0–5.9 s",IF(electric_vehicles_spec_2025_csv[[#This Row],[acceleration_0_100_s]]&lt;8,"6.0–7.9 s","8.0+ s")))</f>
        <v>8.0+ s</v>
      </c>
      <c r="P356" s="16">
        <v>70</v>
      </c>
      <c r="Q356" s="16" t="str">
        <f>IF(electric_vehicles_spec_2025_csv[[#This Row],[fast_charging_power_kw_dc]]&lt;50,"0–49 kW",IF(electric_vehicles_spec_2025_csv[[#This Row],[fast_charging_power_kw_dc]]&lt;100,"50–99 kW",IF(electric_vehicles_spec_2025_csv[[#This Row],[fast_charging_power_kw_dc]]&lt;150,"100–149 kW","150+ kW")))</f>
        <v>50–99 kW</v>
      </c>
      <c r="R356" s="16" t="s">
        <v>25</v>
      </c>
      <c r="S356" s="16">
        <v>750</v>
      </c>
      <c r="T356" s="16" t="s">
        <v>916</v>
      </c>
      <c r="U356" s="16">
        <v>5</v>
      </c>
      <c r="V356" s="16" t="s">
        <v>27</v>
      </c>
      <c r="W356" s="16" t="s">
        <v>35</v>
      </c>
      <c r="X356" s="16">
        <v>4143</v>
      </c>
      <c r="Y356" s="16">
        <v>1796</v>
      </c>
      <c r="Z356" s="16">
        <v>1552</v>
      </c>
      <c r="AA356" s="16" t="s">
        <v>36</v>
      </c>
      <c r="AB356" s="16" t="s">
        <v>919</v>
      </c>
    </row>
    <row r="357" spans="1:28" x14ac:dyDescent="0.3">
      <c r="A357" s="16" t="s">
        <v>914</v>
      </c>
      <c r="B357" s="16" t="s">
        <v>920</v>
      </c>
      <c r="C357" s="16">
        <v>150</v>
      </c>
      <c r="D35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57" s="16">
        <v>40</v>
      </c>
      <c r="F357" s="16" t="str">
        <f>IF(electric_vehicles_spec_2025_csv[[#This Row],[battery_capacity_kWh]]&lt;=30, "0–30 kWh", IF(electric_vehicles_spec_2025_csv[[#This Row],[battery_capacity_kWh]]&lt;=60, "31–60 kWh", "61+ kWh"))</f>
        <v>31–60 kWh</v>
      </c>
      <c r="G357" s="16" t="s">
        <v>24</v>
      </c>
      <c r="H357" s="16">
        <v>93</v>
      </c>
      <c r="I357" s="16">
        <v>225</v>
      </c>
      <c r="J357" s="16">
        <v>132</v>
      </c>
      <c r="K357" s="16" t="str">
        <f t="shared" si="5"/>
        <v>131–160 Wh/km</v>
      </c>
      <c r="L357" s="16">
        <v>250</v>
      </c>
      <c r="M357" s="16" t="str">
        <f>IF(electric_vehicles_spec_2025_csv[[#This Row],[range_km]]&lt;=200, "0–200 km",IF(electric_vehicles_spec_2025_csv[[#This Row],[range_km]]&lt;=400, "201–400 km", "401+ km"))</f>
        <v>201–400 km</v>
      </c>
      <c r="N357" s="16">
        <v>9</v>
      </c>
      <c r="O357" s="16" t="str">
        <f>IF(electric_vehicles_spec_2025_csv[[#This Row],[acceleration_0_100_s]]&lt;4,"0–3.9 s",IF(electric_vehicles_spec_2025_csv[[#This Row],[acceleration_0_100_s]]&lt;6,"4.0–5.9 s",IF(electric_vehicles_spec_2025_csv[[#This Row],[acceleration_0_100_s]]&lt;8,"6.0–7.9 s","8.0+ s")))</f>
        <v>8.0+ s</v>
      </c>
      <c r="P357" s="16">
        <v>55</v>
      </c>
      <c r="Q357" s="16" t="str">
        <f>IF(electric_vehicles_spec_2025_csv[[#This Row],[fast_charging_power_kw_dc]]&lt;50,"0–49 kW",IF(electric_vehicles_spec_2025_csv[[#This Row],[fast_charging_power_kw_dc]]&lt;100,"50–99 kW",IF(electric_vehicles_spec_2025_csv[[#This Row],[fast_charging_power_kw_dc]]&lt;150,"100–149 kW","150+ kW")))</f>
        <v>50–99 kW</v>
      </c>
      <c r="R357" s="16" t="s">
        <v>25</v>
      </c>
      <c r="S357" s="16">
        <v>500</v>
      </c>
      <c r="T357" s="16" t="s">
        <v>56</v>
      </c>
      <c r="U357" s="16">
        <v>5</v>
      </c>
      <c r="V357" s="16" t="s">
        <v>27</v>
      </c>
      <c r="W357" s="16" t="s">
        <v>28</v>
      </c>
      <c r="X357" s="16">
        <v>3922</v>
      </c>
      <c r="Y357" s="16">
        <v>1808</v>
      </c>
      <c r="Z357" s="16">
        <v>1489</v>
      </c>
      <c r="AA357" s="16" t="s">
        <v>29</v>
      </c>
      <c r="AB357" s="16" t="s">
        <v>921</v>
      </c>
    </row>
    <row r="358" spans="1:28" x14ac:dyDescent="0.3">
      <c r="A358" s="16" t="s">
        <v>914</v>
      </c>
      <c r="B358" s="16" t="s">
        <v>922</v>
      </c>
      <c r="C358" s="16">
        <v>130</v>
      </c>
      <c r="D35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58" s="16">
        <v>40</v>
      </c>
      <c r="F358" s="16" t="str">
        <f>IF(electric_vehicles_spec_2025_csv[[#This Row],[battery_capacity_kWh]]&lt;=30, "0–30 kWh", IF(electric_vehicles_spec_2025_csv[[#This Row],[battery_capacity_kWh]]&lt;=60, "31–60 kWh", "61+ kWh"))</f>
        <v>31–60 kWh</v>
      </c>
      <c r="G358" s="16" t="s">
        <v>24</v>
      </c>
      <c r="H358" s="16">
        <v>93</v>
      </c>
      <c r="I358" s="16">
        <v>215</v>
      </c>
      <c r="J358" s="16">
        <v>129</v>
      </c>
      <c r="K358" s="16" t="str">
        <f t="shared" si="5"/>
        <v>0–130 Wh/km</v>
      </c>
      <c r="L358" s="16">
        <v>255</v>
      </c>
      <c r="M358" s="16" t="str">
        <f>IF(electric_vehicles_spec_2025_csv[[#This Row],[range_km]]&lt;=200, "0–200 km",IF(electric_vehicles_spec_2025_csv[[#This Row],[range_km]]&lt;=400, "201–400 km", "401+ km"))</f>
        <v>201–400 km</v>
      </c>
      <c r="N358" s="16">
        <v>12</v>
      </c>
      <c r="O358" s="16" t="str">
        <f>IF(electric_vehicles_spec_2025_csv[[#This Row],[acceleration_0_100_s]]&lt;4,"0–3.9 s",IF(electric_vehicles_spec_2025_csv[[#This Row],[acceleration_0_100_s]]&lt;6,"4.0–5.9 s",IF(electric_vehicles_spec_2025_csv[[#This Row],[acceleration_0_100_s]]&lt;8,"6.0–7.9 s","8.0+ s")))</f>
        <v>8.0+ s</v>
      </c>
      <c r="P358" s="16"/>
      <c r="Q358" s="16" t="str">
        <f>IF(electric_vehicles_spec_2025_csv[[#This Row],[fast_charging_power_kw_dc]]&lt;50,"0–49 kW",IF(electric_vehicles_spec_2025_csv[[#This Row],[fast_charging_power_kw_dc]]&lt;100,"50–99 kW",IF(electric_vehicles_spec_2025_csv[[#This Row],[fast_charging_power_kw_dc]]&lt;150,"100–149 kW","150+ kW")))</f>
        <v>0–49 kW</v>
      </c>
      <c r="R358" s="16" t="s">
        <v>363</v>
      </c>
      <c r="S358" s="16">
        <v>500</v>
      </c>
      <c r="T358" s="16" t="s">
        <v>56</v>
      </c>
      <c r="U358" s="16">
        <v>5</v>
      </c>
      <c r="V358" s="16" t="s">
        <v>27</v>
      </c>
      <c r="W358" s="16" t="s">
        <v>28</v>
      </c>
      <c r="X358" s="16">
        <v>3922</v>
      </c>
      <c r="Y358" s="16">
        <v>1808</v>
      </c>
      <c r="Z358" s="16">
        <v>1489</v>
      </c>
      <c r="AA358" s="16" t="s">
        <v>29</v>
      </c>
      <c r="AB358" s="16" t="s">
        <v>923</v>
      </c>
    </row>
    <row r="359" spans="1:28" x14ac:dyDescent="0.3">
      <c r="A359" s="16" t="s">
        <v>914</v>
      </c>
      <c r="B359" s="16" t="s">
        <v>924</v>
      </c>
      <c r="C359" s="16">
        <v>150</v>
      </c>
      <c r="D35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59" s="16">
        <v>52</v>
      </c>
      <c r="F359" s="16" t="str">
        <f>IF(electric_vehicles_spec_2025_csv[[#This Row],[battery_capacity_kWh]]&lt;=30, "0–30 kWh", IF(electric_vehicles_spec_2025_csv[[#This Row],[battery_capacity_kWh]]&lt;=60, "31–60 kWh", "61+ kWh"))</f>
        <v>31–60 kWh</v>
      </c>
      <c r="G359" s="16" t="s">
        <v>24</v>
      </c>
      <c r="H359" s="16">
        <v>184</v>
      </c>
      <c r="I359" s="16">
        <v>245</v>
      </c>
      <c r="J359" s="16">
        <v>129</v>
      </c>
      <c r="K359" s="16" t="str">
        <f t="shared" si="5"/>
        <v>0–130 Wh/km</v>
      </c>
      <c r="L359" s="16">
        <v>320</v>
      </c>
      <c r="M359" s="16" t="str">
        <f>IF(electric_vehicles_spec_2025_csv[[#This Row],[range_km]]&lt;=200, "0–200 km",IF(electric_vehicles_spec_2025_csv[[#This Row],[range_km]]&lt;=400, "201–400 km", "401+ km"))</f>
        <v>201–400 km</v>
      </c>
      <c r="N359" s="16">
        <v>8</v>
      </c>
      <c r="O359" s="16" t="str">
        <f>IF(electric_vehicles_spec_2025_csv[[#This Row],[acceleration_0_100_s]]&lt;4,"0–3.9 s",IF(electric_vehicles_spec_2025_csv[[#This Row],[acceleration_0_100_s]]&lt;6,"4.0–5.9 s",IF(electric_vehicles_spec_2025_csv[[#This Row],[acceleration_0_100_s]]&lt;8,"6.0–7.9 s","8.0+ s")))</f>
        <v>8.0+ s</v>
      </c>
      <c r="P359" s="16">
        <v>70</v>
      </c>
      <c r="Q359" s="16" t="str">
        <f>IF(electric_vehicles_spec_2025_csv[[#This Row],[fast_charging_power_kw_dc]]&lt;50,"0–49 kW",IF(electric_vehicles_spec_2025_csv[[#This Row],[fast_charging_power_kw_dc]]&lt;100,"50–99 kW",IF(electric_vehicles_spec_2025_csv[[#This Row],[fast_charging_power_kw_dc]]&lt;150,"100–149 kW","150+ kW")))</f>
        <v>50–99 kW</v>
      </c>
      <c r="R359" s="16" t="s">
        <v>25</v>
      </c>
      <c r="S359" s="16">
        <v>500</v>
      </c>
      <c r="T359" s="16" t="s">
        <v>56</v>
      </c>
      <c r="U359" s="16">
        <v>5</v>
      </c>
      <c r="V359" s="16" t="s">
        <v>27</v>
      </c>
      <c r="W359" s="16" t="s">
        <v>28</v>
      </c>
      <c r="X359" s="16">
        <v>3922</v>
      </c>
      <c r="Y359" s="16">
        <v>1808</v>
      </c>
      <c r="Z359" s="16">
        <v>1489</v>
      </c>
      <c r="AA359" s="16" t="s">
        <v>29</v>
      </c>
      <c r="AB359" s="16" t="s">
        <v>925</v>
      </c>
    </row>
    <row r="360" spans="1:28" x14ac:dyDescent="0.3">
      <c r="A360" s="16" t="s">
        <v>914</v>
      </c>
      <c r="B360" s="16" t="s">
        <v>926</v>
      </c>
      <c r="C360" s="16">
        <v>135</v>
      </c>
      <c r="D36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60" s="16">
        <v>45</v>
      </c>
      <c r="F360" s="16" t="str">
        <f>IF(electric_vehicles_spec_2025_csv[[#This Row],[battery_capacity_kWh]]&lt;=30, "0–30 kWh", IF(electric_vehicles_spec_2025_csv[[#This Row],[battery_capacity_kWh]]&lt;=60, "31–60 kWh", "61+ kWh"))</f>
        <v>31–60 kWh</v>
      </c>
      <c r="G360" s="16" t="s">
        <v>24</v>
      </c>
      <c r="H360" s="16"/>
      <c r="I360" s="16">
        <v>245</v>
      </c>
      <c r="J360" s="16">
        <v>158</v>
      </c>
      <c r="K360" s="16" t="str">
        <f t="shared" si="5"/>
        <v>131–160 Wh/km</v>
      </c>
      <c r="L360" s="16">
        <v>225</v>
      </c>
      <c r="M360" s="16" t="str">
        <f>IF(electric_vehicles_spec_2025_csv[[#This Row],[range_km]]&lt;=200, "0–200 km",IF(electric_vehicles_spec_2025_csv[[#This Row],[range_km]]&lt;=400, "201–400 km", "401+ km"))</f>
        <v>201–400 km</v>
      </c>
      <c r="N360" s="16">
        <v>12.6</v>
      </c>
      <c r="O360" s="16" t="str">
        <f>IF(electric_vehicles_spec_2025_csv[[#This Row],[acceleration_0_100_s]]&lt;4,"0–3.9 s",IF(electric_vehicles_spec_2025_csv[[#This Row],[acceleration_0_100_s]]&lt;6,"4.0–5.9 s",IF(electric_vehicles_spec_2025_csv[[#This Row],[acceleration_0_100_s]]&lt;8,"6.0–7.9 s","8.0+ s")))</f>
        <v>8.0+ s</v>
      </c>
      <c r="P360" s="16">
        <v>50</v>
      </c>
      <c r="Q360" s="16" t="str">
        <f>IF(electric_vehicles_spec_2025_csv[[#This Row],[fast_charging_power_kw_dc]]&lt;50,"0–49 kW",IF(electric_vehicles_spec_2025_csv[[#This Row],[fast_charging_power_kw_dc]]&lt;100,"50–99 kW",IF(electric_vehicles_spec_2025_csv[[#This Row],[fast_charging_power_kw_dc]]&lt;150,"100–149 kW","150+ kW")))</f>
        <v>50–99 kW</v>
      </c>
      <c r="R360" s="16" t="s">
        <v>25</v>
      </c>
      <c r="S360" s="16">
        <v>1500</v>
      </c>
      <c r="T360" s="16" t="s">
        <v>927</v>
      </c>
      <c r="U360" s="16">
        <v>5</v>
      </c>
      <c r="V360" s="16" t="s">
        <v>27</v>
      </c>
      <c r="W360" s="16" t="s">
        <v>244</v>
      </c>
      <c r="X360" s="16">
        <v>4486</v>
      </c>
      <c r="Y360" s="16">
        <v>1860</v>
      </c>
      <c r="Z360" s="16">
        <v>1838</v>
      </c>
      <c r="AA360" s="16" t="s">
        <v>245</v>
      </c>
      <c r="AB360" s="16" t="s">
        <v>928</v>
      </c>
    </row>
    <row r="361" spans="1:28" x14ac:dyDescent="0.3">
      <c r="A361" s="16" t="s">
        <v>914</v>
      </c>
      <c r="B361" s="16" t="s">
        <v>929</v>
      </c>
      <c r="C361" s="16">
        <v>130</v>
      </c>
      <c r="D36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361" s="16">
        <v>45</v>
      </c>
      <c r="F361" s="16" t="str">
        <f>IF(electric_vehicles_spec_2025_csv[[#This Row],[battery_capacity_kWh]]&lt;=30, "0–30 kWh", IF(electric_vehicles_spec_2025_csv[[#This Row],[battery_capacity_kWh]]&lt;=60, "31–60 kWh", "61+ kWh"))</f>
        <v>31–60 kWh</v>
      </c>
      <c r="G361" s="16" t="s">
        <v>24</v>
      </c>
      <c r="H361" s="16"/>
      <c r="I361" s="16">
        <v>245</v>
      </c>
      <c r="J361" s="16">
        <v>170</v>
      </c>
      <c r="K361" s="16" t="str">
        <f t="shared" si="5"/>
        <v>161+ Wh/km</v>
      </c>
      <c r="L361" s="16">
        <v>220</v>
      </c>
      <c r="M361" s="16" t="str">
        <f>IF(electric_vehicles_spec_2025_csv[[#This Row],[range_km]]&lt;=200, "0–200 km",IF(electric_vehicles_spec_2025_csv[[#This Row],[range_km]]&lt;=400, "201–400 km", "401+ km"))</f>
        <v>201–400 km</v>
      </c>
      <c r="N361" s="16">
        <v>13.3</v>
      </c>
      <c r="O361" s="16" t="str">
        <f>IF(electric_vehicles_spec_2025_csv[[#This Row],[acceleration_0_100_s]]&lt;4,"0–3.9 s",IF(electric_vehicles_spec_2025_csv[[#This Row],[acceleration_0_100_s]]&lt;6,"4.0–5.9 s",IF(electric_vehicles_spec_2025_csv[[#This Row],[acceleration_0_100_s]]&lt;8,"6.0–7.9 s","8.0+ s")))</f>
        <v>8.0+ s</v>
      </c>
      <c r="P361" s="16">
        <v>50</v>
      </c>
      <c r="Q361" s="16" t="str">
        <f>IF(electric_vehicles_spec_2025_csv[[#This Row],[fast_charging_power_kw_dc]]&lt;50,"0–49 kW",IF(electric_vehicles_spec_2025_csv[[#This Row],[fast_charging_power_kw_dc]]&lt;100,"50–99 kW",IF(electric_vehicles_spec_2025_csv[[#This Row],[fast_charging_power_kw_dc]]&lt;150,"100–149 kW","150+ kW")))</f>
        <v>50–99 kW</v>
      </c>
      <c r="R361" s="16" t="s">
        <v>25</v>
      </c>
      <c r="S361" s="16">
        <v>1500</v>
      </c>
      <c r="T361" s="16" t="s">
        <v>161</v>
      </c>
      <c r="U361" s="16">
        <v>7</v>
      </c>
      <c r="V361" s="16" t="s">
        <v>27</v>
      </c>
      <c r="W361" s="16" t="s">
        <v>244</v>
      </c>
      <c r="X361" s="16">
        <v>4911</v>
      </c>
      <c r="Y361" s="16">
        <v>1860</v>
      </c>
      <c r="Z361" s="16">
        <v>1815</v>
      </c>
      <c r="AA361" s="16" t="s">
        <v>245</v>
      </c>
      <c r="AB361" s="16" t="s">
        <v>930</v>
      </c>
    </row>
    <row r="362" spans="1:28" x14ac:dyDescent="0.3">
      <c r="A362" s="16" t="s">
        <v>914</v>
      </c>
      <c r="B362" s="16" t="s">
        <v>931</v>
      </c>
      <c r="C362" s="16">
        <v>150</v>
      </c>
      <c r="D36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62" s="16">
        <v>60</v>
      </c>
      <c r="F362" s="16" t="str">
        <f>IF(electric_vehicles_spec_2025_csv[[#This Row],[battery_capacity_kWh]]&lt;=30, "0–30 kWh", IF(electric_vehicles_spec_2025_csv[[#This Row],[battery_capacity_kWh]]&lt;=60, "31–60 kWh", "61+ kWh"))</f>
        <v>31–60 kWh</v>
      </c>
      <c r="G362" s="16" t="s">
        <v>24</v>
      </c>
      <c r="H362" s="16">
        <v>288</v>
      </c>
      <c r="I362" s="16">
        <v>250</v>
      </c>
      <c r="J362" s="16">
        <v>125</v>
      </c>
      <c r="K362" s="16" t="str">
        <f t="shared" si="5"/>
        <v>0–130 Wh/km</v>
      </c>
      <c r="L362" s="16">
        <v>380</v>
      </c>
      <c r="M362" s="16" t="str">
        <f>IF(electric_vehicles_spec_2025_csv[[#This Row],[range_km]]&lt;=200, "0–200 km",IF(electric_vehicles_spec_2025_csv[[#This Row],[range_km]]&lt;=400, "201–400 km", "401+ km"))</f>
        <v>201–400 km</v>
      </c>
      <c r="N362" s="16">
        <v>10.5</v>
      </c>
      <c r="O362" s="16" t="str">
        <f>IF(electric_vehicles_spec_2025_csv[[#This Row],[acceleration_0_100_s]]&lt;4,"0–3.9 s",IF(electric_vehicles_spec_2025_csv[[#This Row],[acceleration_0_100_s]]&lt;6,"4.0–5.9 s",IF(electric_vehicles_spec_2025_csv[[#This Row],[acceleration_0_100_s]]&lt;8,"6.0–7.9 s","8.0+ s")))</f>
        <v>8.0+ s</v>
      </c>
      <c r="P362" s="16">
        <v>88</v>
      </c>
      <c r="Q362" s="16" t="str">
        <f>IF(electric_vehicles_spec_2025_csv[[#This Row],[fast_charging_power_kw_dc]]&lt;50,"0–49 kW",IF(electric_vehicles_spec_2025_csv[[#This Row],[fast_charging_power_kw_dc]]&lt;100,"50–99 kW",IF(electric_vehicles_spec_2025_csv[[#This Row],[fast_charging_power_kw_dc]]&lt;150,"100–149 kW","150+ kW")))</f>
        <v>50–99 kW</v>
      </c>
      <c r="R362" s="16" t="s">
        <v>25</v>
      </c>
      <c r="S362" s="16">
        <v>500</v>
      </c>
      <c r="T362" s="16" t="s">
        <v>186</v>
      </c>
      <c r="U362" s="16">
        <v>5</v>
      </c>
      <c r="V362" s="16" t="s">
        <v>27</v>
      </c>
      <c r="W362" s="16" t="s">
        <v>190</v>
      </c>
      <c r="X362" s="16">
        <v>4200</v>
      </c>
      <c r="Y362" s="16">
        <v>1860</v>
      </c>
      <c r="Z362" s="16">
        <v>1505</v>
      </c>
      <c r="AA362" s="16" t="s">
        <v>29</v>
      </c>
      <c r="AB362" s="16" t="s">
        <v>932</v>
      </c>
    </row>
    <row r="363" spans="1:28" x14ac:dyDescent="0.3">
      <c r="A363" s="16" t="s">
        <v>914</v>
      </c>
      <c r="B363" s="16" t="s">
        <v>933</v>
      </c>
      <c r="C363" s="16">
        <v>160</v>
      </c>
      <c r="D36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63" s="16">
        <v>60</v>
      </c>
      <c r="F363" s="16" t="str">
        <f>IF(electric_vehicles_spec_2025_csv[[#This Row],[battery_capacity_kWh]]&lt;=30, "0–30 kWh", IF(electric_vehicles_spec_2025_csv[[#This Row],[battery_capacity_kWh]]&lt;=60, "31–60 kWh", "61+ kWh"))</f>
        <v>31–60 kWh</v>
      </c>
      <c r="G363" s="16" t="s">
        <v>24</v>
      </c>
      <c r="H363" s="16">
        <v>288</v>
      </c>
      <c r="I363" s="16">
        <v>300</v>
      </c>
      <c r="J363" s="16">
        <v>133</v>
      </c>
      <c r="K363" s="16" t="str">
        <f t="shared" si="5"/>
        <v>131–160 Wh/km</v>
      </c>
      <c r="L363" s="16">
        <v>380</v>
      </c>
      <c r="M363" s="16" t="str">
        <f>IF(electric_vehicles_spec_2025_csv[[#This Row],[range_km]]&lt;=200, "0–200 km",IF(electric_vehicles_spec_2025_csv[[#This Row],[range_km]]&lt;=400, "201–400 km", "401+ km"))</f>
        <v>201–400 km</v>
      </c>
      <c r="N363" s="16">
        <v>7.4</v>
      </c>
      <c r="O363" s="16" t="str">
        <f>IF(electric_vehicles_spec_2025_csv[[#This Row],[acceleration_0_100_s]]&lt;4,"0–3.9 s",IF(electric_vehicles_spec_2025_csv[[#This Row],[acceleration_0_100_s]]&lt;6,"4.0–5.9 s",IF(electric_vehicles_spec_2025_csv[[#This Row],[acceleration_0_100_s]]&lt;8,"6.0–7.9 s","8.0+ s")))</f>
        <v>6.0–7.9 s</v>
      </c>
      <c r="P363" s="16">
        <v>88</v>
      </c>
      <c r="Q363" s="16" t="str">
        <f>IF(electric_vehicles_spec_2025_csv[[#This Row],[fast_charging_power_kw_dc]]&lt;50,"0–49 kW",IF(electric_vehicles_spec_2025_csv[[#This Row],[fast_charging_power_kw_dc]]&lt;100,"50–99 kW",IF(electric_vehicles_spec_2025_csv[[#This Row],[fast_charging_power_kw_dc]]&lt;150,"100–149 kW","150+ kW")))</f>
        <v>50–99 kW</v>
      </c>
      <c r="R363" s="16" t="s">
        <v>25</v>
      </c>
      <c r="S363" s="16">
        <v>900</v>
      </c>
      <c r="T363" s="16" t="s">
        <v>186</v>
      </c>
      <c r="U363" s="16">
        <v>5</v>
      </c>
      <c r="V363" s="16" t="s">
        <v>27</v>
      </c>
      <c r="W363" s="16" t="s">
        <v>190</v>
      </c>
      <c r="X363" s="16">
        <v>4200</v>
      </c>
      <c r="Y363" s="16">
        <v>1860</v>
      </c>
      <c r="Z363" s="16">
        <v>1505</v>
      </c>
      <c r="AA363" s="16" t="s">
        <v>29</v>
      </c>
      <c r="AB363" s="16" t="s">
        <v>934</v>
      </c>
    </row>
    <row r="364" spans="1:28" x14ac:dyDescent="0.3">
      <c r="A364" s="16" t="s">
        <v>914</v>
      </c>
      <c r="B364" s="16" t="s">
        <v>935</v>
      </c>
      <c r="C364" s="16">
        <v>150</v>
      </c>
      <c r="D36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64" s="16">
        <v>60</v>
      </c>
      <c r="F364" s="16" t="str">
        <f>IF(electric_vehicles_spec_2025_csv[[#This Row],[battery_capacity_kWh]]&lt;=30, "0–30 kWh", IF(electric_vehicles_spec_2025_csv[[#This Row],[battery_capacity_kWh]]&lt;=60, "31–60 kWh", "61+ kWh"))</f>
        <v>31–60 kWh</v>
      </c>
      <c r="G364" s="16" t="s">
        <v>24</v>
      </c>
      <c r="H364" s="16">
        <v>192</v>
      </c>
      <c r="I364" s="16">
        <v>280</v>
      </c>
      <c r="J364" s="16">
        <v>144</v>
      </c>
      <c r="K364" s="16" t="str">
        <f t="shared" si="5"/>
        <v>131–160 Wh/km</v>
      </c>
      <c r="L364" s="16">
        <v>340</v>
      </c>
      <c r="M364" s="16" t="str">
        <f>IF(electric_vehicles_spec_2025_csv[[#This Row],[range_km]]&lt;=200, "0–200 km",IF(electric_vehicles_spec_2025_csv[[#This Row],[range_km]]&lt;=400, "201–400 km", "401+ km"))</f>
        <v>201–400 km</v>
      </c>
      <c r="N364" s="16">
        <v>8.6</v>
      </c>
      <c r="O364" s="16" t="str">
        <f>IF(electric_vehicles_spec_2025_csv[[#This Row],[acceleration_0_100_s]]&lt;4,"0–3.9 s",IF(electric_vehicles_spec_2025_csv[[#This Row],[acceleration_0_100_s]]&lt;6,"4.0–5.9 s",IF(electric_vehicles_spec_2025_csv[[#This Row],[acceleration_0_100_s]]&lt;8,"6.0–7.9 s","8.0+ s")))</f>
        <v>8.0+ s</v>
      </c>
      <c r="P364" s="16">
        <v>75</v>
      </c>
      <c r="Q364" s="16" t="str">
        <f>IF(electric_vehicles_spec_2025_csv[[#This Row],[fast_charging_power_kw_dc]]&lt;50,"0–49 kW",IF(electric_vehicles_spec_2025_csv[[#This Row],[fast_charging_power_kw_dc]]&lt;100,"50–99 kW",IF(electric_vehicles_spec_2025_csv[[#This Row],[fast_charging_power_kw_dc]]&lt;150,"100–149 kW","150+ kW")))</f>
        <v>50–99 kW</v>
      </c>
      <c r="R364" s="16" t="s">
        <v>25</v>
      </c>
      <c r="S364" s="16">
        <v>1100</v>
      </c>
      <c r="T364" s="16" t="s">
        <v>936</v>
      </c>
      <c r="U364" s="16">
        <v>5</v>
      </c>
      <c r="V364" s="16" t="s">
        <v>27</v>
      </c>
      <c r="W364" s="16" t="s">
        <v>43</v>
      </c>
      <c r="X364" s="16">
        <v>4470</v>
      </c>
      <c r="Y364" s="16">
        <v>1864</v>
      </c>
      <c r="Z364" s="16">
        <v>1571</v>
      </c>
      <c r="AA364" s="16" t="s">
        <v>36</v>
      </c>
      <c r="AB364" s="16" t="s">
        <v>937</v>
      </c>
    </row>
    <row r="365" spans="1:28" x14ac:dyDescent="0.3">
      <c r="A365" s="16" t="s">
        <v>914</v>
      </c>
      <c r="B365" s="16" t="s">
        <v>938</v>
      </c>
      <c r="C365" s="16">
        <v>170</v>
      </c>
      <c r="D36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65" s="16">
        <v>87</v>
      </c>
      <c r="F365" s="16" t="str">
        <f>IF(electric_vehicles_spec_2025_csv[[#This Row],[battery_capacity_kWh]]&lt;=30, "0–30 kWh", IF(electric_vehicles_spec_2025_csv[[#This Row],[battery_capacity_kWh]]&lt;=60, "31–60 kWh", "61+ kWh"))</f>
        <v>61+ kWh</v>
      </c>
      <c r="G365" s="16" t="s">
        <v>24</v>
      </c>
      <c r="H365" s="16">
        <v>288</v>
      </c>
      <c r="I365" s="16">
        <v>300</v>
      </c>
      <c r="J365" s="16">
        <v>143</v>
      </c>
      <c r="K365" s="16" t="str">
        <f t="shared" si="5"/>
        <v>131–160 Wh/km</v>
      </c>
      <c r="L365" s="16">
        <v>480</v>
      </c>
      <c r="M365" s="16" t="str">
        <f>IF(electric_vehicles_spec_2025_csv[[#This Row],[range_km]]&lt;=200, "0–200 km",IF(electric_vehicles_spec_2025_csv[[#This Row],[range_km]]&lt;=400, "201–400 km", "401+ km"))</f>
        <v>401+ km</v>
      </c>
      <c r="N365" s="16">
        <v>7.9</v>
      </c>
      <c r="O365" s="16" t="str">
        <f>IF(electric_vehicles_spec_2025_csv[[#This Row],[acceleration_0_100_s]]&lt;4,"0–3.9 s",IF(electric_vehicles_spec_2025_csv[[#This Row],[acceleration_0_100_s]]&lt;6,"4.0–5.9 s",IF(electric_vehicles_spec_2025_csv[[#This Row],[acceleration_0_100_s]]&lt;8,"6.0–7.9 s","8.0+ s")))</f>
        <v>6.0–7.9 s</v>
      </c>
      <c r="P365" s="16">
        <v>95</v>
      </c>
      <c r="Q365" s="16" t="str">
        <f>IF(electric_vehicles_spec_2025_csv[[#This Row],[fast_charging_power_kw_dc]]&lt;50,"0–49 kW",IF(electric_vehicles_spec_2025_csv[[#This Row],[fast_charging_power_kw_dc]]&lt;100,"50–99 kW",IF(electric_vehicles_spec_2025_csv[[#This Row],[fast_charging_power_kw_dc]]&lt;150,"100–149 kW","150+ kW")))</f>
        <v>50–99 kW</v>
      </c>
      <c r="R365" s="16" t="s">
        <v>25</v>
      </c>
      <c r="S365" s="16">
        <v>1100</v>
      </c>
      <c r="T365" s="16" t="s">
        <v>936</v>
      </c>
      <c r="U365" s="16">
        <v>5</v>
      </c>
      <c r="V365" s="16" t="s">
        <v>27</v>
      </c>
      <c r="W365" s="16" t="s">
        <v>43</v>
      </c>
      <c r="X365" s="16">
        <v>4470</v>
      </c>
      <c r="Y365" s="16">
        <v>1864</v>
      </c>
      <c r="Z365" s="16">
        <v>1571</v>
      </c>
      <c r="AA365" s="16" t="s">
        <v>36</v>
      </c>
      <c r="AB365" s="16" t="s">
        <v>939</v>
      </c>
    </row>
    <row r="366" spans="1:28" x14ac:dyDescent="0.3">
      <c r="A366" s="16" t="s">
        <v>940</v>
      </c>
      <c r="B366" s="16" t="s">
        <v>941</v>
      </c>
      <c r="C366" s="16">
        <v>250</v>
      </c>
      <c r="D36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366" s="16">
        <v>102</v>
      </c>
      <c r="F366" s="16" t="str">
        <f>IF(electric_vehicles_spec_2025_csv[[#This Row],[battery_capacity_kWh]]&lt;=30, "0–30 kWh", IF(electric_vehicles_spec_2025_csv[[#This Row],[battery_capacity_kWh]]&lt;=60, "31–60 kWh", "61+ kWh"))</f>
        <v>61+ kWh</v>
      </c>
      <c r="G366" s="16" t="s">
        <v>24</v>
      </c>
      <c r="H366" s="16"/>
      <c r="I366" s="16">
        <v>900</v>
      </c>
      <c r="J366" s="16">
        <v>192</v>
      </c>
      <c r="K366" s="16" t="str">
        <f t="shared" si="5"/>
        <v>161+ Wh/km</v>
      </c>
      <c r="L366" s="16">
        <v>465</v>
      </c>
      <c r="M366" s="16" t="str">
        <f>IF(electric_vehicles_spec_2025_csv[[#This Row],[range_km]]&lt;=200, "0–200 km",IF(electric_vehicles_spec_2025_csv[[#This Row],[range_km]]&lt;=400, "201–400 km", "401+ km"))</f>
        <v>401+ km</v>
      </c>
      <c r="N366" s="16">
        <v>4.5</v>
      </c>
      <c r="O366" s="16" t="str">
        <f>IF(electric_vehicles_spec_2025_csv[[#This Row],[acceleration_0_100_s]]&lt;4,"0–3.9 s",IF(electric_vehicles_spec_2025_csv[[#This Row],[acceleration_0_100_s]]&lt;6,"4.0–5.9 s",IF(electric_vehicles_spec_2025_csv[[#This Row],[acceleration_0_100_s]]&lt;8,"6.0–7.9 s","8.0+ s")))</f>
        <v>4.0–5.9 s</v>
      </c>
      <c r="P366" s="16">
        <v>126</v>
      </c>
      <c r="Q366" s="16" t="str">
        <f>IF(electric_vehicles_spec_2025_csv[[#This Row],[fast_charging_power_kw_dc]]&lt;50,"0–49 kW",IF(electric_vehicles_spec_2025_csv[[#This Row],[fast_charging_power_kw_dc]]&lt;100,"50–99 kW",IF(electric_vehicles_spec_2025_csv[[#This Row],[fast_charging_power_kw_dc]]&lt;150,"100–149 kW","150+ kW")))</f>
        <v>100–149 kW</v>
      </c>
      <c r="R366" s="16" t="s">
        <v>25</v>
      </c>
      <c r="S366" s="16"/>
      <c r="T366" s="16" t="s">
        <v>257</v>
      </c>
      <c r="U366" s="16">
        <v>4</v>
      </c>
      <c r="V366" s="16" t="s">
        <v>70</v>
      </c>
      <c r="W366" s="16" t="s">
        <v>942</v>
      </c>
      <c r="X366" s="16">
        <v>5453</v>
      </c>
      <c r="Y366" s="16">
        <v>2080</v>
      </c>
      <c r="Z366" s="16">
        <v>1559</v>
      </c>
      <c r="AA366" s="16" t="s">
        <v>583</v>
      </c>
      <c r="AB366" s="16" t="s">
        <v>943</v>
      </c>
    </row>
    <row r="367" spans="1:28" x14ac:dyDescent="0.3">
      <c r="A367" s="16" t="s">
        <v>944</v>
      </c>
      <c r="B367" s="16" t="s">
        <v>945</v>
      </c>
      <c r="C367" s="16">
        <v>160</v>
      </c>
      <c r="D36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67" s="16">
        <v>52</v>
      </c>
      <c r="F367" s="16" t="str">
        <f>IF(electric_vehicles_spec_2025_csv[[#This Row],[battery_capacity_kWh]]&lt;=30, "0–30 kWh", IF(electric_vehicles_spec_2025_csv[[#This Row],[battery_capacity_kWh]]&lt;=60, "31–60 kWh", "61+ kWh"))</f>
        <v>31–60 kWh</v>
      </c>
      <c r="G367" s="16" t="s">
        <v>24</v>
      </c>
      <c r="H367" s="16">
        <v>192</v>
      </c>
      <c r="I367" s="16">
        <v>310</v>
      </c>
      <c r="J367" s="16">
        <v>149</v>
      </c>
      <c r="K367" s="16" t="str">
        <f t="shared" si="5"/>
        <v>131–160 Wh/km</v>
      </c>
      <c r="L367" s="16">
        <v>310</v>
      </c>
      <c r="M367" s="16" t="str">
        <f>IF(electric_vehicles_spec_2025_csv[[#This Row],[range_km]]&lt;=200, "0–200 km",IF(electric_vehicles_spec_2025_csv[[#This Row],[range_km]]&lt;=400, "201–400 km", "401+ km"))</f>
        <v>201–400 km</v>
      </c>
      <c r="N367" s="16">
        <v>9</v>
      </c>
      <c r="O367" s="16" t="str">
        <f>IF(electric_vehicles_spec_2025_csv[[#This Row],[acceleration_0_100_s]]&lt;4,"0–3.9 s",IF(electric_vehicles_spec_2025_csv[[#This Row],[acceleration_0_100_s]]&lt;6,"4.0–5.9 s",IF(electric_vehicles_spec_2025_csv[[#This Row],[acceleration_0_100_s]]&lt;8,"6.0–7.9 s","8.0+ s")))</f>
        <v>8.0+ s</v>
      </c>
      <c r="P367" s="16">
        <v>90</v>
      </c>
      <c r="Q367" s="16" t="str">
        <f>IF(electric_vehicles_spec_2025_csv[[#This Row],[fast_charging_power_kw_dc]]&lt;50,"0–49 kW",IF(electric_vehicles_spec_2025_csv[[#This Row],[fast_charging_power_kw_dc]]&lt;100,"50–99 kW",IF(electric_vehicles_spec_2025_csv[[#This Row],[fast_charging_power_kw_dc]]&lt;150,"100–149 kW","150+ kW")))</f>
        <v>50–99 kW</v>
      </c>
      <c r="R367" s="16" t="s">
        <v>25</v>
      </c>
      <c r="S367" s="16">
        <v>1000</v>
      </c>
      <c r="T367" s="16" t="s">
        <v>136</v>
      </c>
      <c r="U367" s="16">
        <v>5</v>
      </c>
      <c r="V367" s="16" t="s">
        <v>63</v>
      </c>
      <c r="W367" s="16" t="s">
        <v>43</v>
      </c>
      <c r="X367" s="16">
        <v>4488</v>
      </c>
      <c r="Y367" s="16">
        <v>1884</v>
      </c>
      <c r="Z367" s="16">
        <v>1625</v>
      </c>
      <c r="AA367" s="16" t="s">
        <v>36</v>
      </c>
      <c r="AB367" s="16" t="s">
        <v>946</v>
      </c>
    </row>
    <row r="368" spans="1:28" x14ac:dyDescent="0.3">
      <c r="A368" s="16" t="s">
        <v>944</v>
      </c>
      <c r="B368" s="16" t="s">
        <v>947</v>
      </c>
      <c r="C368" s="16">
        <v>160</v>
      </c>
      <c r="D36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68" s="16">
        <v>59</v>
      </c>
      <c r="F368" s="16" t="str">
        <f>IF(electric_vehicles_spec_2025_csv[[#This Row],[battery_capacity_kWh]]&lt;=30, "0–30 kWh", IF(electric_vehicles_spec_2025_csv[[#This Row],[battery_capacity_kWh]]&lt;=60, "31–60 kWh", "61+ kWh"))</f>
        <v>31–60 kWh</v>
      </c>
      <c r="G368" s="16" t="s">
        <v>24</v>
      </c>
      <c r="H368" s="16">
        <v>216</v>
      </c>
      <c r="I368" s="16">
        <v>310</v>
      </c>
      <c r="J368" s="16">
        <v>149</v>
      </c>
      <c r="K368" s="16" t="str">
        <f t="shared" si="5"/>
        <v>131–160 Wh/km</v>
      </c>
      <c r="L368" s="16">
        <v>350</v>
      </c>
      <c r="M368" s="16" t="str">
        <f>IF(electric_vehicles_spec_2025_csv[[#This Row],[range_km]]&lt;=200, "0–200 km",IF(electric_vehicles_spec_2025_csv[[#This Row],[range_km]]&lt;=400, "201–400 km", "401+ km"))</f>
        <v>201–400 km</v>
      </c>
      <c r="N368" s="16">
        <v>8.5</v>
      </c>
      <c r="O368" s="16" t="str">
        <f>IF(electric_vehicles_spec_2025_csv[[#This Row],[acceleration_0_100_s]]&lt;4,"0–3.9 s",IF(electric_vehicles_spec_2025_csv[[#This Row],[acceleration_0_100_s]]&lt;6,"4.0–5.9 s",IF(electric_vehicles_spec_2025_csv[[#This Row],[acceleration_0_100_s]]&lt;8,"6.0–7.9 s","8.0+ s")))</f>
        <v>8.0+ s</v>
      </c>
      <c r="P368" s="16">
        <v>110</v>
      </c>
      <c r="Q368" s="16" t="str">
        <f>IF(electric_vehicles_spec_2025_csv[[#This Row],[fast_charging_power_kw_dc]]&lt;50,"0–49 kW",IF(electric_vehicles_spec_2025_csv[[#This Row],[fast_charging_power_kw_dc]]&lt;100,"50–99 kW",IF(electric_vehicles_spec_2025_csv[[#This Row],[fast_charging_power_kw_dc]]&lt;150,"100–149 kW","150+ kW")))</f>
        <v>100–149 kW</v>
      </c>
      <c r="R368" s="16" t="s">
        <v>25</v>
      </c>
      <c r="S368" s="16">
        <v>1000</v>
      </c>
      <c r="T368" s="16" t="s">
        <v>136</v>
      </c>
      <c r="U368" s="16">
        <v>5</v>
      </c>
      <c r="V368" s="16" t="s">
        <v>63</v>
      </c>
      <c r="W368" s="16" t="s">
        <v>43</v>
      </c>
      <c r="X368" s="16">
        <v>4488</v>
      </c>
      <c r="Y368" s="16">
        <v>1884</v>
      </c>
      <c r="Z368" s="16">
        <v>1625</v>
      </c>
      <c r="AA368" s="16" t="s">
        <v>36</v>
      </c>
      <c r="AB368" s="16" t="s">
        <v>948</v>
      </c>
    </row>
    <row r="369" spans="1:28" x14ac:dyDescent="0.3">
      <c r="A369" s="16" t="s">
        <v>944</v>
      </c>
      <c r="B369" s="16" t="s">
        <v>949</v>
      </c>
      <c r="C369" s="16">
        <v>180</v>
      </c>
      <c r="D36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69" s="16">
        <v>77</v>
      </c>
      <c r="F369" s="16" t="str">
        <f>IF(electric_vehicles_spec_2025_csv[[#This Row],[battery_capacity_kWh]]&lt;=30, "0–30 kWh", IF(electric_vehicles_spec_2025_csv[[#This Row],[battery_capacity_kWh]]&lt;=60, "31–60 kWh", "61+ kWh"))</f>
        <v>61+ kWh</v>
      </c>
      <c r="G369" s="16" t="s">
        <v>24</v>
      </c>
      <c r="H369" s="16">
        <v>288</v>
      </c>
      <c r="I369" s="16">
        <v>545</v>
      </c>
      <c r="J369" s="16">
        <v>145</v>
      </c>
      <c r="K369" s="16" t="str">
        <f t="shared" si="5"/>
        <v>131–160 Wh/km</v>
      </c>
      <c r="L369" s="16">
        <v>450</v>
      </c>
      <c r="M369" s="16" t="str">
        <f>IF(electric_vehicles_spec_2025_csv[[#This Row],[range_km]]&lt;=200, "0–200 km",IF(electric_vehicles_spec_2025_csv[[#This Row],[range_km]]&lt;=400, "201–400 km", "401+ km"))</f>
        <v>401+ km</v>
      </c>
      <c r="N369" s="16">
        <v>6.6</v>
      </c>
      <c r="O369" s="16" t="str">
        <f>IF(electric_vehicles_spec_2025_csv[[#This Row],[acceleration_0_100_s]]&lt;4,"0–3.9 s",IF(electric_vehicles_spec_2025_csv[[#This Row],[acceleration_0_100_s]]&lt;6,"4.0–5.9 s",IF(electric_vehicles_spec_2025_csv[[#This Row],[acceleration_0_100_s]]&lt;8,"6.0–7.9 s","8.0+ s")))</f>
        <v>6.0–7.9 s</v>
      </c>
      <c r="P369" s="16">
        <v>120</v>
      </c>
      <c r="Q369" s="16" t="str">
        <f>IF(electric_vehicles_spec_2025_csv[[#This Row],[fast_charging_power_kw_dc]]&lt;50,"0–49 kW",IF(electric_vehicles_spec_2025_csv[[#This Row],[fast_charging_power_kw_dc]]&lt;100,"50–99 kW",IF(electric_vehicles_spec_2025_csv[[#This Row],[fast_charging_power_kw_dc]]&lt;150,"100–149 kW","150+ kW")))</f>
        <v>100–149 kW</v>
      </c>
      <c r="R369" s="16" t="s">
        <v>25</v>
      </c>
      <c r="S369" s="16">
        <v>1000</v>
      </c>
      <c r="T369" s="16" t="s">
        <v>136</v>
      </c>
      <c r="U369" s="16">
        <v>5</v>
      </c>
      <c r="V369" s="16" t="s">
        <v>63</v>
      </c>
      <c r="W369" s="16" t="s">
        <v>43</v>
      </c>
      <c r="X369" s="16">
        <v>4488</v>
      </c>
      <c r="Y369" s="16">
        <v>1884</v>
      </c>
      <c r="Z369" s="16">
        <v>1625</v>
      </c>
      <c r="AA369" s="16" t="s">
        <v>36</v>
      </c>
      <c r="AB369" s="16" t="s">
        <v>950</v>
      </c>
    </row>
    <row r="370" spans="1:28" x14ac:dyDescent="0.3">
      <c r="A370" s="16" t="s">
        <v>944</v>
      </c>
      <c r="B370" s="16" t="s">
        <v>951</v>
      </c>
      <c r="C370" s="16">
        <v>180</v>
      </c>
      <c r="D37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70" s="16">
        <v>79</v>
      </c>
      <c r="F370" s="16" t="str">
        <f>IF(electric_vehicles_spec_2025_csv[[#This Row],[battery_capacity_kWh]]&lt;=30, "0–30 kWh", IF(electric_vehicles_spec_2025_csv[[#This Row],[battery_capacity_kWh]]&lt;=60, "31–60 kWh", "61+ kWh"))</f>
        <v>61+ kWh</v>
      </c>
      <c r="G370" s="16" t="s">
        <v>24</v>
      </c>
      <c r="H370" s="16">
        <v>288</v>
      </c>
      <c r="I370" s="16">
        <v>679</v>
      </c>
      <c r="J370" s="16">
        <v>151</v>
      </c>
      <c r="K370" s="16" t="str">
        <f t="shared" si="5"/>
        <v>131–160 Wh/km</v>
      </c>
      <c r="L370" s="16">
        <v>450</v>
      </c>
      <c r="M370" s="16" t="str">
        <f>IF(electric_vehicles_spec_2025_csv[[#This Row],[range_km]]&lt;=200, "0–200 km",IF(electric_vehicles_spec_2025_csv[[#This Row],[range_km]]&lt;=400, "201–400 km", "401+ km"))</f>
        <v>401+ km</v>
      </c>
      <c r="N370" s="16">
        <v>5.4</v>
      </c>
      <c r="O370" s="16" t="str">
        <f>IF(electric_vehicles_spec_2025_csv[[#This Row],[acceleration_0_100_s]]&lt;4,"0–3.9 s",IF(electric_vehicles_spec_2025_csv[[#This Row],[acceleration_0_100_s]]&lt;6,"4.0–5.9 s",IF(electric_vehicles_spec_2025_csv[[#This Row],[acceleration_0_100_s]]&lt;8,"6.0–7.9 s","8.0+ s")))</f>
        <v>4.0–5.9 s</v>
      </c>
      <c r="P370" s="16">
        <v>135</v>
      </c>
      <c r="Q370" s="16" t="str">
        <f>IF(electric_vehicles_spec_2025_csv[[#This Row],[fast_charging_power_kw_dc]]&lt;50,"0–49 kW",IF(electric_vehicles_spec_2025_csv[[#This Row],[fast_charging_power_kw_dc]]&lt;100,"50–99 kW",IF(electric_vehicles_spec_2025_csv[[#This Row],[fast_charging_power_kw_dc]]&lt;150,"100–149 kW","150+ kW")))</f>
        <v>100–149 kW</v>
      </c>
      <c r="R370" s="16" t="s">
        <v>25</v>
      </c>
      <c r="S370" s="16">
        <v>1200</v>
      </c>
      <c r="T370" s="16" t="s">
        <v>136</v>
      </c>
      <c r="U370" s="16">
        <v>5</v>
      </c>
      <c r="V370" s="16" t="s">
        <v>70</v>
      </c>
      <c r="W370" s="16" t="s">
        <v>43</v>
      </c>
      <c r="X370" s="16">
        <v>4488</v>
      </c>
      <c r="Y370" s="16">
        <v>1884</v>
      </c>
      <c r="Z370" s="16">
        <v>1608</v>
      </c>
      <c r="AA370" s="16" t="s">
        <v>36</v>
      </c>
      <c r="AB370" s="16" t="s">
        <v>952</v>
      </c>
    </row>
    <row r="371" spans="1:28" x14ac:dyDescent="0.3">
      <c r="A371" s="16" t="s">
        <v>944</v>
      </c>
      <c r="B371" s="16" t="s">
        <v>953</v>
      </c>
      <c r="C371" s="16">
        <v>160</v>
      </c>
      <c r="D37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71" s="16">
        <v>59</v>
      </c>
      <c r="F371" s="16" t="str">
        <f>IF(electric_vehicles_spec_2025_csv[[#This Row],[battery_capacity_kWh]]&lt;=30, "0–30 kWh", IF(electric_vehicles_spec_2025_csv[[#This Row],[battery_capacity_kWh]]&lt;=60, "31–60 kWh", "61+ kWh"))</f>
        <v>31–60 kWh</v>
      </c>
      <c r="G371" s="16" t="s">
        <v>24</v>
      </c>
      <c r="H371" s="16">
        <v>216</v>
      </c>
      <c r="I371" s="16">
        <v>310</v>
      </c>
      <c r="J371" s="16">
        <v>145</v>
      </c>
      <c r="K371" s="16" t="str">
        <f t="shared" si="5"/>
        <v>131–160 Wh/km</v>
      </c>
      <c r="L371" s="16">
        <v>360</v>
      </c>
      <c r="M371" s="16" t="str">
        <f>IF(electric_vehicles_spec_2025_csv[[#This Row],[range_km]]&lt;=200, "0–200 km",IF(electric_vehicles_spec_2025_csv[[#This Row],[range_km]]&lt;=400, "201–400 km", "401+ km"))</f>
        <v>201–400 km</v>
      </c>
      <c r="N371" s="16">
        <v>8.1</v>
      </c>
      <c r="O371" s="16" t="str">
        <f>IF(electric_vehicles_spec_2025_csv[[#This Row],[acceleration_0_100_s]]&lt;4,"0–3.9 s",IF(electric_vehicles_spec_2025_csv[[#This Row],[acceleration_0_100_s]]&lt;6,"4.0–5.9 s",IF(electric_vehicles_spec_2025_csv[[#This Row],[acceleration_0_100_s]]&lt;8,"6.0–7.9 s","8.0+ s")))</f>
        <v>8.0+ s</v>
      </c>
      <c r="P371" s="16">
        <v>110</v>
      </c>
      <c r="Q371" s="16" t="str">
        <f>IF(electric_vehicles_spec_2025_csv[[#This Row],[fast_charging_power_kw_dc]]&lt;50,"0–49 kW",IF(electric_vehicles_spec_2025_csv[[#This Row],[fast_charging_power_kw_dc]]&lt;100,"50–99 kW",IF(electric_vehicles_spec_2025_csv[[#This Row],[fast_charging_power_kw_dc]]&lt;150,"100–149 kW","150+ kW")))</f>
        <v>100–149 kW</v>
      </c>
      <c r="R371" s="16" t="s">
        <v>25</v>
      </c>
      <c r="S371" s="16">
        <v>1000</v>
      </c>
      <c r="T371" s="16" t="s">
        <v>954</v>
      </c>
      <c r="U371" s="16">
        <v>5</v>
      </c>
      <c r="V371" s="16" t="s">
        <v>63</v>
      </c>
      <c r="W371" s="16" t="s">
        <v>43</v>
      </c>
      <c r="X371" s="16">
        <v>4658</v>
      </c>
      <c r="Y371" s="16">
        <v>1879</v>
      </c>
      <c r="Z371" s="16">
        <v>1622</v>
      </c>
      <c r="AA371" s="16" t="s">
        <v>36</v>
      </c>
      <c r="AB371" s="16" t="s">
        <v>955</v>
      </c>
    </row>
    <row r="372" spans="1:28" x14ac:dyDescent="0.3">
      <c r="A372" s="16" t="s">
        <v>944</v>
      </c>
      <c r="B372" s="16" t="s">
        <v>956</v>
      </c>
      <c r="C372" s="16">
        <v>180</v>
      </c>
      <c r="D37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72" s="16">
        <v>77</v>
      </c>
      <c r="F372" s="16" t="str">
        <f>IF(electric_vehicles_spec_2025_csv[[#This Row],[battery_capacity_kWh]]&lt;=30, "0–30 kWh", IF(electric_vehicles_spec_2025_csv[[#This Row],[battery_capacity_kWh]]&lt;=60, "31–60 kWh", "61+ kWh"))</f>
        <v>61+ kWh</v>
      </c>
      <c r="G372" s="16" t="s">
        <v>24</v>
      </c>
      <c r="H372" s="16">
        <v>288</v>
      </c>
      <c r="I372" s="16">
        <v>545</v>
      </c>
      <c r="J372" s="16">
        <v>141</v>
      </c>
      <c r="K372" s="16" t="str">
        <f t="shared" si="5"/>
        <v>131–160 Wh/km</v>
      </c>
      <c r="L372" s="16">
        <v>455</v>
      </c>
      <c r="M372" s="16" t="str">
        <f>IF(electric_vehicles_spec_2025_csv[[#This Row],[range_km]]&lt;=200, "0–200 km",IF(electric_vehicles_spec_2025_csv[[#This Row],[range_km]]&lt;=400, "201–400 km", "401+ km"))</f>
        <v>401+ km</v>
      </c>
      <c r="N372" s="16">
        <v>6.7</v>
      </c>
      <c r="O372" s="16" t="str">
        <f>IF(electric_vehicles_spec_2025_csv[[#This Row],[acceleration_0_100_s]]&lt;4,"0–3.9 s",IF(electric_vehicles_spec_2025_csv[[#This Row],[acceleration_0_100_s]]&lt;6,"4.0–5.9 s",IF(electric_vehicles_spec_2025_csv[[#This Row],[acceleration_0_100_s]]&lt;8,"6.0–7.9 s","8.0+ s")))</f>
        <v>6.0–7.9 s</v>
      </c>
      <c r="P372" s="16">
        <v>120</v>
      </c>
      <c r="Q372" s="16" t="str">
        <f>IF(electric_vehicles_spec_2025_csv[[#This Row],[fast_charging_power_kw_dc]]&lt;50,"0–49 kW",IF(electric_vehicles_spec_2025_csv[[#This Row],[fast_charging_power_kw_dc]]&lt;100,"50–99 kW",IF(electric_vehicles_spec_2025_csv[[#This Row],[fast_charging_power_kw_dc]]&lt;150,"100–149 kW","150+ kW")))</f>
        <v>100–149 kW</v>
      </c>
      <c r="R372" s="16" t="s">
        <v>25</v>
      </c>
      <c r="S372" s="16">
        <v>1000</v>
      </c>
      <c r="T372" s="16" t="s">
        <v>954</v>
      </c>
      <c r="U372" s="16">
        <v>5</v>
      </c>
      <c r="V372" s="16" t="s">
        <v>63</v>
      </c>
      <c r="W372" s="16" t="s">
        <v>43</v>
      </c>
      <c r="X372" s="16">
        <v>4658</v>
      </c>
      <c r="Y372" s="16">
        <v>1879</v>
      </c>
      <c r="Z372" s="16">
        <v>1622</v>
      </c>
      <c r="AA372" s="16" t="s">
        <v>36</v>
      </c>
      <c r="AB372" s="16" t="s">
        <v>957</v>
      </c>
    </row>
    <row r="373" spans="1:28" x14ac:dyDescent="0.3">
      <c r="A373" s="16" t="s">
        <v>944</v>
      </c>
      <c r="B373" s="16" t="s">
        <v>958</v>
      </c>
      <c r="C373" s="16">
        <v>180</v>
      </c>
      <c r="D37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73" s="16">
        <v>77</v>
      </c>
      <c r="F373" s="16" t="str">
        <f>IF(electric_vehicles_spec_2025_csv[[#This Row],[battery_capacity_kWh]]&lt;=30, "0–30 kWh", IF(electric_vehicles_spec_2025_csv[[#This Row],[battery_capacity_kWh]]&lt;=60, "31–60 kWh", "61+ kWh"))</f>
        <v>61+ kWh</v>
      </c>
      <c r="G373" s="16" t="s">
        <v>24</v>
      </c>
      <c r="H373" s="16">
        <v>288</v>
      </c>
      <c r="I373" s="16">
        <v>679</v>
      </c>
      <c r="J373" s="16">
        <v>150</v>
      </c>
      <c r="K373" s="16" t="str">
        <f t="shared" si="5"/>
        <v>131–160 Wh/km</v>
      </c>
      <c r="L373" s="16">
        <v>450</v>
      </c>
      <c r="M373" s="16" t="str">
        <f>IF(electric_vehicles_spec_2025_csv[[#This Row],[range_km]]&lt;=200, "0–200 km",IF(electric_vehicles_spec_2025_csv[[#This Row],[range_km]]&lt;=400, "201–400 km", "401+ km"))</f>
        <v>401+ km</v>
      </c>
      <c r="N373" s="16">
        <v>6.7</v>
      </c>
      <c r="O373" s="16" t="str">
        <f>IF(electric_vehicles_spec_2025_csv[[#This Row],[acceleration_0_100_s]]&lt;4,"0–3.9 s",IF(electric_vehicles_spec_2025_csv[[#This Row],[acceleration_0_100_s]]&lt;6,"4.0–5.9 s",IF(electric_vehicles_spec_2025_csv[[#This Row],[acceleration_0_100_s]]&lt;8,"6.0–7.9 s","8.0+ s")))</f>
        <v>6.0–7.9 s</v>
      </c>
      <c r="P373" s="16">
        <v>120</v>
      </c>
      <c r="Q373" s="16" t="str">
        <f>IF(electric_vehicles_spec_2025_csv[[#This Row],[fast_charging_power_kw_dc]]&lt;50,"0–49 kW",IF(electric_vehicles_spec_2025_csv[[#This Row],[fast_charging_power_kw_dc]]&lt;100,"50–99 kW",IF(electric_vehicles_spec_2025_csv[[#This Row],[fast_charging_power_kw_dc]]&lt;150,"100–149 kW","150+ kW")))</f>
        <v>100–149 kW</v>
      </c>
      <c r="R373" s="16" t="s">
        <v>25</v>
      </c>
      <c r="S373" s="16">
        <v>1200</v>
      </c>
      <c r="T373" s="16" t="s">
        <v>954</v>
      </c>
      <c r="U373" s="16">
        <v>5</v>
      </c>
      <c r="V373" s="16" t="s">
        <v>70</v>
      </c>
      <c r="W373" s="16" t="s">
        <v>43</v>
      </c>
      <c r="X373" s="16">
        <v>4658</v>
      </c>
      <c r="Y373" s="16">
        <v>1879</v>
      </c>
      <c r="Z373" s="16">
        <v>1620</v>
      </c>
      <c r="AA373" s="16" t="s">
        <v>36</v>
      </c>
      <c r="AB373" s="16" t="s">
        <v>959</v>
      </c>
    </row>
    <row r="374" spans="1:28" x14ac:dyDescent="0.3">
      <c r="A374" s="16" t="s">
        <v>944</v>
      </c>
      <c r="B374" s="16" t="s">
        <v>960</v>
      </c>
      <c r="C374" s="16">
        <v>160</v>
      </c>
      <c r="D37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74" s="16">
        <v>59</v>
      </c>
      <c r="F374" s="16" t="str">
        <f>IF(electric_vehicles_spec_2025_csv[[#This Row],[battery_capacity_kWh]]&lt;=30, "0–30 kWh", IF(electric_vehicles_spec_2025_csv[[#This Row],[battery_capacity_kWh]]&lt;=60, "31–60 kWh", "61+ kWh"))</f>
        <v>31–60 kWh</v>
      </c>
      <c r="G374" s="16" t="s">
        <v>24</v>
      </c>
      <c r="H374" s="16">
        <v>216</v>
      </c>
      <c r="I374" s="16">
        <v>310</v>
      </c>
      <c r="J374" s="16">
        <v>141</v>
      </c>
      <c r="K374" s="16" t="str">
        <f t="shared" si="5"/>
        <v>131–160 Wh/km</v>
      </c>
      <c r="L374" s="16">
        <v>370</v>
      </c>
      <c r="M374" s="16" t="str">
        <f>IF(electric_vehicles_spec_2025_csv[[#This Row],[range_km]]&lt;=200, "0–200 km",IF(electric_vehicles_spec_2025_csv[[#This Row],[range_km]]&lt;=400, "201–400 km", "401+ km"))</f>
        <v>201–400 km</v>
      </c>
      <c r="N374" s="16">
        <v>8.1</v>
      </c>
      <c r="O374" s="16" t="str">
        <f>IF(electric_vehicles_spec_2025_csv[[#This Row],[acceleration_0_100_s]]&lt;4,"0–3.9 s",IF(electric_vehicles_spec_2025_csv[[#This Row],[acceleration_0_100_s]]&lt;6,"4.0–5.9 s",IF(electric_vehicles_spec_2025_csv[[#This Row],[acceleration_0_100_s]]&lt;8,"6.0–7.9 s","8.0+ s")))</f>
        <v>8.0+ s</v>
      </c>
      <c r="P374" s="16">
        <v>110</v>
      </c>
      <c r="Q374" s="16" t="str">
        <f>IF(electric_vehicles_spec_2025_csv[[#This Row],[fast_charging_power_kw_dc]]&lt;50,"0–49 kW",IF(electric_vehicles_spec_2025_csv[[#This Row],[fast_charging_power_kw_dc]]&lt;100,"50–99 kW",IF(electric_vehicles_spec_2025_csv[[#This Row],[fast_charging_power_kw_dc]]&lt;150,"100–149 kW","150+ kW")))</f>
        <v>100–149 kW</v>
      </c>
      <c r="R374" s="16" t="s">
        <v>25</v>
      </c>
      <c r="S374" s="16">
        <v>1000</v>
      </c>
      <c r="T374" s="16" t="s">
        <v>150</v>
      </c>
      <c r="U374" s="16">
        <v>5</v>
      </c>
      <c r="V374" s="16" t="s">
        <v>63</v>
      </c>
      <c r="W374" s="16" t="s">
        <v>43</v>
      </c>
      <c r="X374" s="16">
        <v>4658</v>
      </c>
      <c r="Y374" s="16">
        <v>1879</v>
      </c>
      <c r="Z374" s="16">
        <v>1623</v>
      </c>
      <c r="AA374" s="16" t="s">
        <v>36</v>
      </c>
      <c r="AB374" s="16" t="s">
        <v>961</v>
      </c>
    </row>
    <row r="375" spans="1:28" x14ac:dyDescent="0.3">
      <c r="A375" s="16" t="s">
        <v>944</v>
      </c>
      <c r="B375" s="16" t="s">
        <v>962</v>
      </c>
      <c r="C375" s="16">
        <v>180</v>
      </c>
      <c r="D37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75" s="16">
        <v>77</v>
      </c>
      <c r="F375" s="16" t="str">
        <f>IF(electric_vehicles_spec_2025_csv[[#This Row],[battery_capacity_kWh]]&lt;=30, "0–30 kWh", IF(electric_vehicles_spec_2025_csv[[#This Row],[battery_capacity_kWh]]&lt;=60, "31–60 kWh", "61+ kWh"))</f>
        <v>61+ kWh</v>
      </c>
      <c r="G375" s="16" t="s">
        <v>24</v>
      </c>
      <c r="H375" s="16">
        <v>288</v>
      </c>
      <c r="I375" s="16">
        <v>545</v>
      </c>
      <c r="J375" s="16">
        <v>138</v>
      </c>
      <c r="K375" s="16" t="str">
        <f t="shared" si="5"/>
        <v>131–160 Wh/km</v>
      </c>
      <c r="L375" s="16">
        <v>470</v>
      </c>
      <c r="M375" s="16" t="str">
        <f>IF(electric_vehicles_spec_2025_csv[[#This Row],[range_km]]&lt;=200, "0–200 km",IF(electric_vehicles_spec_2025_csv[[#This Row],[range_km]]&lt;=400, "201–400 km", "401+ km"))</f>
        <v>401+ km</v>
      </c>
      <c r="N375" s="16">
        <v>6.7</v>
      </c>
      <c r="O375" s="16" t="str">
        <f>IF(electric_vehicles_spec_2025_csv[[#This Row],[acceleration_0_100_s]]&lt;4,"0–3.9 s",IF(electric_vehicles_spec_2025_csv[[#This Row],[acceleration_0_100_s]]&lt;6,"4.0–5.9 s",IF(electric_vehicles_spec_2025_csv[[#This Row],[acceleration_0_100_s]]&lt;8,"6.0–7.9 s","8.0+ s")))</f>
        <v>6.0–7.9 s</v>
      </c>
      <c r="P375" s="16">
        <v>120</v>
      </c>
      <c r="Q375" s="16" t="str">
        <f>IF(electric_vehicles_spec_2025_csv[[#This Row],[fast_charging_power_kw_dc]]&lt;50,"0–49 kW",IF(electric_vehicles_spec_2025_csv[[#This Row],[fast_charging_power_kw_dc]]&lt;100,"50–99 kW",IF(electric_vehicles_spec_2025_csv[[#This Row],[fast_charging_power_kw_dc]]&lt;150,"100–149 kW","150+ kW")))</f>
        <v>100–149 kW</v>
      </c>
      <c r="R375" s="16" t="s">
        <v>25</v>
      </c>
      <c r="S375" s="16">
        <v>1000</v>
      </c>
      <c r="T375" s="16" t="s">
        <v>150</v>
      </c>
      <c r="U375" s="16">
        <v>5</v>
      </c>
      <c r="V375" s="16" t="s">
        <v>63</v>
      </c>
      <c r="W375" s="16" t="s">
        <v>43</v>
      </c>
      <c r="X375" s="16">
        <v>4658</v>
      </c>
      <c r="Y375" s="16">
        <v>1879</v>
      </c>
      <c r="Z375" s="16">
        <v>1623</v>
      </c>
      <c r="AA375" s="16" t="s">
        <v>36</v>
      </c>
      <c r="AB375" s="16" t="s">
        <v>963</v>
      </c>
    </row>
    <row r="376" spans="1:28" x14ac:dyDescent="0.3">
      <c r="A376" s="16" t="s">
        <v>944</v>
      </c>
      <c r="B376" s="16" t="s">
        <v>964</v>
      </c>
      <c r="C376" s="16">
        <v>180</v>
      </c>
      <c r="D37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76" s="16">
        <v>77</v>
      </c>
      <c r="F376" s="16" t="str">
        <f>IF(electric_vehicles_spec_2025_csv[[#This Row],[battery_capacity_kWh]]&lt;=30, "0–30 kWh", IF(electric_vehicles_spec_2025_csv[[#This Row],[battery_capacity_kWh]]&lt;=60, "31–60 kWh", "61+ kWh"))</f>
        <v>61+ kWh</v>
      </c>
      <c r="G376" s="16" t="s">
        <v>24</v>
      </c>
      <c r="H376" s="16">
        <v>288</v>
      </c>
      <c r="I376" s="16">
        <v>679</v>
      </c>
      <c r="J376" s="16">
        <v>146</v>
      </c>
      <c r="K376" s="16" t="str">
        <f t="shared" si="5"/>
        <v>131–160 Wh/km</v>
      </c>
      <c r="L376" s="16">
        <v>460</v>
      </c>
      <c r="M376" s="16" t="str">
        <f>IF(electric_vehicles_spec_2025_csv[[#This Row],[range_km]]&lt;=200, "0–200 km",IF(electric_vehicles_spec_2025_csv[[#This Row],[range_km]]&lt;=400, "201–400 km", "401+ km"))</f>
        <v>401+ km</v>
      </c>
      <c r="N376" s="16">
        <v>6.7</v>
      </c>
      <c r="O376" s="16" t="str">
        <f>IF(electric_vehicles_spec_2025_csv[[#This Row],[acceleration_0_100_s]]&lt;4,"0–3.9 s",IF(electric_vehicles_spec_2025_csv[[#This Row],[acceleration_0_100_s]]&lt;6,"4.0–5.9 s",IF(electric_vehicles_spec_2025_csv[[#This Row],[acceleration_0_100_s]]&lt;8,"6.0–7.9 s","8.0+ s")))</f>
        <v>6.0–7.9 s</v>
      </c>
      <c r="P376" s="16">
        <v>120</v>
      </c>
      <c r="Q376" s="16" t="str">
        <f>IF(electric_vehicles_spec_2025_csv[[#This Row],[fast_charging_power_kw_dc]]&lt;50,"0–49 kW",IF(electric_vehicles_spec_2025_csv[[#This Row],[fast_charging_power_kw_dc]]&lt;100,"50–99 kW",IF(electric_vehicles_spec_2025_csv[[#This Row],[fast_charging_power_kw_dc]]&lt;150,"100–149 kW","150+ kW")))</f>
        <v>100–149 kW</v>
      </c>
      <c r="R376" s="16" t="s">
        <v>25</v>
      </c>
      <c r="S376" s="16">
        <v>1200</v>
      </c>
      <c r="T376" s="16" t="s">
        <v>150</v>
      </c>
      <c r="U376" s="16">
        <v>5</v>
      </c>
      <c r="V376" s="16" t="s">
        <v>70</v>
      </c>
      <c r="W376" s="16" t="s">
        <v>43</v>
      </c>
      <c r="X376" s="16">
        <v>4658</v>
      </c>
      <c r="Y376" s="16">
        <v>1879</v>
      </c>
      <c r="Z376" s="16">
        <v>1621</v>
      </c>
      <c r="AA376" s="16" t="s">
        <v>36</v>
      </c>
      <c r="AB376" s="16" t="s">
        <v>965</v>
      </c>
    </row>
    <row r="377" spans="1:28" x14ac:dyDescent="0.3">
      <c r="A377" s="16" t="s">
        <v>944</v>
      </c>
      <c r="B377" s="16" t="s">
        <v>966</v>
      </c>
      <c r="C377" s="16">
        <v>180</v>
      </c>
      <c r="D37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77" s="16">
        <v>79</v>
      </c>
      <c r="F377" s="16" t="str">
        <f>IF(electric_vehicles_spec_2025_csv[[#This Row],[battery_capacity_kWh]]&lt;=30, "0–30 kWh", IF(electric_vehicles_spec_2025_csv[[#This Row],[battery_capacity_kWh]]&lt;=60, "31–60 kWh", "61+ kWh"))</f>
        <v>61+ kWh</v>
      </c>
      <c r="G377" s="16" t="s">
        <v>24</v>
      </c>
      <c r="H377" s="16">
        <v>288</v>
      </c>
      <c r="I377" s="16">
        <v>679</v>
      </c>
      <c r="J377" s="16">
        <v>143</v>
      </c>
      <c r="K377" s="16" t="str">
        <f t="shared" si="5"/>
        <v>131–160 Wh/km</v>
      </c>
      <c r="L377" s="16">
        <v>470</v>
      </c>
      <c r="M377" s="16" t="str">
        <f>IF(electric_vehicles_spec_2025_csv[[#This Row],[range_km]]&lt;=200, "0–200 km",IF(electric_vehicles_spec_2025_csv[[#This Row],[range_km]]&lt;=400, "201–400 km", "401+ km"))</f>
        <v>401+ km</v>
      </c>
      <c r="N377" s="16">
        <v>5.4</v>
      </c>
      <c r="O377" s="16" t="str">
        <f>IF(electric_vehicles_spec_2025_csv[[#This Row],[acceleration_0_100_s]]&lt;4,"0–3.9 s",IF(electric_vehicles_spec_2025_csv[[#This Row],[acceleration_0_100_s]]&lt;6,"4.0–5.9 s",IF(electric_vehicles_spec_2025_csv[[#This Row],[acceleration_0_100_s]]&lt;8,"6.0–7.9 s","8.0+ s")))</f>
        <v>4.0–5.9 s</v>
      </c>
      <c r="P377" s="16">
        <v>135</v>
      </c>
      <c r="Q377" s="16" t="str">
        <f>IF(electric_vehicles_spec_2025_csv[[#This Row],[fast_charging_power_kw_dc]]&lt;50,"0–49 kW",IF(electric_vehicles_spec_2025_csv[[#This Row],[fast_charging_power_kw_dc]]&lt;100,"50–99 kW",IF(electric_vehicles_spec_2025_csv[[#This Row],[fast_charging_power_kw_dc]]&lt;150,"100–149 kW","150+ kW")))</f>
        <v>100–149 kW</v>
      </c>
      <c r="R377" s="16" t="s">
        <v>25</v>
      </c>
      <c r="S377" s="16">
        <v>1200</v>
      </c>
      <c r="T377" s="16" t="s">
        <v>150</v>
      </c>
      <c r="U377" s="16">
        <v>5</v>
      </c>
      <c r="V377" s="16" t="s">
        <v>70</v>
      </c>
      <c r="W377" s="16" t="s">
        <v>43</v>
      </c>
      <c r="X377" s="16">
        <v>4660</v>
      </c>
      <c r="Y377" s="16">
        <v>1879</v>
      </c>
      <c r="Z377" s="16">
        <v>1608</v>
      </c>
      <c r="AA377" s="16" t="s">
        <v>36</v>
      </c>
      <c r="AB377" s="16" t="s">
        <v>967</v>
      </c>
    </row>
    <row r="378" spans="1:28" x14ac:dyDescent="0.3">
      <c r="A378" s="16" t="s">
        <v>944</v>
      </c>
      <c r="B378" s="16" t="s">
        <v>968</v>
      </c>
      <c r="C378" s="16">
        <v>180</v>
      </c>
      <c r="D37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78" s="16">
        <v>79</v>
      </c>
      <c r="F378" s="16" t="str">
        <f>IF(electric_vehicles_spec_2025_csv[[#This Row],[battery_capacity_kWh]]&lt;=30, "0–30 kWh", IF(electric_vehicles_spec_2025_csv[[#This Row],[battery_capacity_kWh]]&lt;=60, "31–60 kWh", "61+ kWh"))</f>
        <v>61+ kWh</v>
      </c>
      <c r="G378" s="16" t="s">
        <v>24</v>
      </c>
      <c r="H378" s="16">
        <v>288</v>
      </c>
      <c r="I378" s="16">
        <v>679</v>
      </c>
      <c r="J378" s="16">
        <v>147</v>
      </c>
      <c r="K378" s="16" t="str">
        <f t="shared" si="5"/>
        <v>131–160 Wh/km</v>
      </c>
      <c r="L378" s="16">
        <v>460</v>
      </c>
      <c r="M378" s="16" t="str">
        <f>IF(electric_vehicles_spec_2025_csv[[#This Row],[range_km]]&lt;=200, "0–200 km",IF(electric_vehicles_spec_2025_csv[[#This Row],[range_km]]&lt;=400, "201–400 km", "401+ km"))</f>
        <v>401+ km</v>
      </c>
      <c r="N378" s="16">
        <v>5.4</v>
      </c>
      <c r="O378" s="16" t="str">
        <f>IF(electric_vehicles_spec_2025_csv[[#This Row],[acceleration_0_100_s]]&lt;4,"0–3.9 s",IF(electric_vehicles_spec_2025_csv[[#This Row],[acceleration_0_100_s]]&lt;6,"4.0–5.9 s",IF(electric_vehicles_spec_2025_csv[[#This Row],[acceleration_0_100_s]]&lt;8,"6.0–7.9 s","8.0+ s")))</f>
        <v>4.0–5.9 s</v>
      </c>
      <c r="P378" s="16">
        <v>135</v>
      </c>
      <c r="Q378" s="16" t="str">
        <f>IF(electric_vehicles_spec_2025_csv[[#This Row],[fast_charging_power_kw_dc]]&lt;50,"0–49 kW",IF(electric_vehicles_spec_2025_csv[[#This Row],[fast_charging_power_kw_dc]]&lt;100,"50–99 kW",IF(electric_vehicles_spec_2025_csv[[#This Row],[fast_charging_power_kw_dc]]&lt;150,"100–149 kW","150+ kW")))</f>
        <v>100–149 kW</v>
      </c>
      <c r="R378" s="16" t="s">
        <v>25</v>
      </c>
      <c r="S378" s="16">
        <v>1200</v>
      </c>
      <c r="T378" s="16" t="s">
        <v>954</v>
      </c>
      <c r="U378" s="16">
        <v>5</v>
      </c>
      <c r="V378" s="16" t="s">
        <v>70</v>
      </c>
      <c r="W378" s="16" t="s">
        <v>43</v>
      </c>
      <c r="X378" s="16">
        <v>4660</v>
      </c>
      <c r="Y378" s="16">
        <v>1879</v>
      </c>
      <c r="Z378" s="16">
        <v>1607</v>
      </c>
      <c r="AA378" s="16" t="s">
        <v>36</v>
      </c>
      <c r="AB378" s="16" t="s">
        <v>969</v>
      </c>
    </row>
    <row r="379" spans="1:28" x14ac:dyDescent="0.3">
      <c r="A379" s="16" t="s">
        <v>970</v>
      </c>
      <c r="B379" s="16" t="s">
        <v>971</v>
      </c>
      <c r="C379" s="16">
        <v>150</v>
      </c>
      <c r="D37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79" s="16">
        <v>81</v>
      </c>
      <c r="F379" s="16" t="str">
        <f>IF(electric_vehicles_spec_2025_csv[[#This Row],[battery_capacity_kWh]]&lt;=30, "0–30 kWh", IF(electric_vehicles_spec_2025_csv[[#This Row],[battery_capacity_kWh]]&lt;=60, "31–60 kWh", "61+ kWh"))</f>
        <v>61+ kWh</v>
      </c>
      <c r="G379" s="16" t="s">
        <v>24</v>
      </c>
      <c r="H379" s="16"/>
      <c r="I379" s="16">
        <v>320</v>
      </c>
      <c r="J379" s="16">
        <v>166</v>
      </c>
      <c r="K379" s="16" t="str">
        <f t="shared" si="5"/>
        <v>161+ Wh/km</v>
      </c>
      <c r="L379" s="16">
        <v>390</v>
      </c>
      <c r="M379" s="16" t="str">
        <f>IF(electric_vehicles_spec_2025_csv[[#This Row],[range_km]]&lt;=200, "0–200 km",IF(electric_vehicles_spec_2025_csv[[#This Row],[range_km]]&lt;=400, "201–400 km", "401+ km"))</f>
        <v>201–400 km</v>
      </c>
      <c r="N379" s="16">
        <v>9.6</v>
      </c>
      <c r="O379" s="16" t="str">
        <f>IF(electric_vehicles_spec_2025_csv[[#This Row],[acceleration_0_100_s]]&lt;4,"0–3.9 s",IF(electric_vehicles_spec_2025_csv[[#This Row],[acceleration_0_100_s]]&lt;6,"4.0–5.9 s",IF(electric_vehicles_spec_2025_csv[[#This Row],[acceleration_0_100_s]]&lt;8,"6.0–7.9 s","8.0+ s")))</f>
        <v>8.0+ s</v>
      </c>
      <c r="P379" s="16">
        <v>50</v>
      </c>
      <c r="Q379" s="16" t="str">
        <f>IF(electric_vehicles_spec_2025_csv[[#This Row],[fast_charging_power_kw_dc]]&lt;50,"0–49 kW",IF(electric_vehicles_spec_2025_csv[[#This Row],[fast_charging_power_kw_dc]]&lt;100,"50–99 kW",IF(electric_vehicles_spec_2025_csv[[#This Row],[fast_charging_power_kw_dc]]&lt;150,"100–149 kW","150+ kW")))</f>
        <v>50–99 kW</v>
      </c>
      <c r="R379" s="16" t="s">
        <v>25</v>
      </c>
      <c r="S379" s="16"/>
      <c r="T379" s="16" t="s">
        <v>302</v>
      </c>
      <c r="U379" s="16">
        <v>5</v>
      </c>
      <c r="V379" s="16" t="s">
        <v>27</v>
      </c>
      <c r="W379" s="16" t="s">
        <v>99</v>
      </c>
      <c r="X379" s="16">
        <v>4720</v>
      </c>
      <c r="Y379" s="16">
        <v>1908</v>
      </c>
      <c r="Z379" s="16">
        <v>1696</v>
      </c>
      <c r="AA379" s="16" t="s">
        <v>36</v>
      </c>
      <c r="AB379" s="16" t="s">
        <v>972</v>
      </c>
    </row>
    <row r="380" spans="1:28" x14ac:dyDescent="0.3">
      <c r="A380" s="16" t="s">
        <v>970</v>
      </c>
      <c r="B380" s="16" t="s">
        <v>973</v>
      </c>
      <c r="C380" s="16">
        <v>150</v>
      </c>
      <c r="D38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80" s="16">
        <v>68</v>
      </c>
      <c r="F380" s="16" t="str">
        <f>IF(electric_vehicles_spec_2025_csv[[#This Row],[battery_capacity_kWh]]&lt;=30, "0–30 kWh", IF(electric_vehicles_spec_2025_csv[[#This Row],[battery_capacity_kWh]]&lt;=60, "31–60 kWh", "61+ kWh"))</f>
        <v>61+ kWh</v>
      </c>
      <c r="G380" s="16" t="s">
        <v>24</v>
      </c>
      <c r="H380" s="16"/>
      <c r="I380" s="16">
        <v>320</v>
      </c>
      <c r="J380" s="16">
        <v>149</v>
      </c>
      <c r="K380" s="16" t="str">
        <f t="shared" si="5"/>
        <v>131–160 Wh/km</v>
      </c>
      <c r="L380" s="16">
        <v>330</v>
      </c>
      <c r="M380" s="16" t="str">
        <f>IF(electric_vehicles_spec_2025_csv[[#This Row],[range_km]]&lt;=200, "0–200 km",IF(electric_vehicles_spec_2025_csv[[#This Row],[range_km]]&lt;=400, "201–400 km", "401+ km"))</f>
        <v>201–400 km</v>
      </c>
      <c r="N380" s="16">
        <v>9.6</v>
      </c>
      <c r="O380" s="16" t="str">
        <f>IF(electric_vehicles_spec_2025_csv[[#This Row],[acceleration_0_100_s]]&lt;4,"0–3.9 s",IF(electric_vehicles_spec_2025_csv[[#This Row],[acceleration_0_100_s]]&lt;6,"4.0–5.9 s",IF(electric_vehicles_spec_2025_csv[[#This Row],[acceleration_0_100_s]]&lt;8,"6.0–7.9 s","8.0+ s")))</f>
        <v>8.0+ s</v>
      </c>
      <c r="P380" s="16">
        <v>50</v>
      </c>
      <c r="Q380" s="16" t="str">
        <f>IF(electric_vehicles_spec_2025_csv[[#This Row],[fast_charging_power_kw_dc]]&lt;50,"0–49 kW",IF(electric_vehicles_spec_2025_csv[[#This Row],[fast_charging_power_kw_dc]]&lt;100,"50–99 kW",IF(electric_vehicles_spec_2025_csv[[#This Row],[fast_charging_power_kw_dc]]&lt;150,"100–149 kW","150+ kW")))</f>
        <v>50–99 kW</v>
      </c>
      <c r="R380" s="16" t="s">
        <v>25</v>
      </c>
      <c r="S380" s="16"/>
      <c r="T380" s="16" t="s">
        <v>302</v>
      </c>
      <c r="U380" s="16">
        <v>5</v>
      </c>
      <c r="V380" s="16" t="s">
        <v>27</v>
      </c>
      <c r="W380" s="16" t="s">
        <v>99</v>
      </c>
      <c r="X380" s="16">
        <v>4720</v>
      </c>
      <c r="Y380" s="16">
        <v>1908</v>
      </c>
      <c r="Z380" s="16">
        <v>1696</v>
      </c>
      <c r="AA380" s="16" t="s">
        <v>36</v>
      </c>
      <c r="AB380" s="16" t="s">
        <v>974</v>
      </c>
    </row>
    <row r="381" spans="1:28" x14ac:dyDescent="0.3">
      <c r="A381" s="16" t="s">
        <v>975</v>
      </c>
      <c r="B381" s="16" t="s">
        <v>976</v>
      </c>
      <c r="C381" s="16">
        <v>180</v>
      </c>
      <c r="D38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1" s="16">
        <v>62</v>
      </c>
      <c r="F381" s="16" t="str">
        <f>IF(electric_vehicles_spec_2025_csv[[#This Row],[battery_capacity_kWh]]&lt;=30, "0–30 kWh", IF(electric_vehicles_spec_2025_csv[[#This Row],[battery_capacity_kWh]]&lt;=60, "31–60 kWh", "61+ kWh"))</f>
        <v>61+ kWh</v>
      </c>
      <c r="G381" s="16" t="s">
        <v>24</v>
      </c>
      <c r="H381" s="16"/>
      <c r="I381" s="16">
        <v>584</v>
      </c>
      <c r="J381" s="16">
        <v>155</v>
      </c>
      <c r="K381" s="16" t="str">
        <f t="shared" si="5"/>
        <v>131–160 Wh/km</v>
      </c>
      <c r="L381" s="16">
        <v>325</v>
      </c>
      <c r="M381" s="16" t="str">
        <f>IF(electric_vehicles_spec_2025_csv[[#This Row],[range_km]]&lt;=200, "0–200 km",IF(electric_vehicles_spec_2025_csv[[#This Row],[range_km]]&lt;=400, "201–400 km", "401+ km"))</f>
        <v>201–400 km</v>
      </c>
      <c r="N381" s="16">
        <v>3.9</v>
      </c>
      <c r="O381" s="16" t="str">
        <f>IF(electric_vehicles_spec_2025_csv[[#This Row],[acceleration_0_100_s]]&lt;4,"0–3.9 s",IF(electric_vehicles_spec_2025_csv[[#This Row],[acceleration_0_100_s]]&lt;6,"4.0–5.9 s",IF(electric_vehicles_spec_2025_csv[[#This Row],[acceleration_0_100_s]]&lt;8,"6.0–7.9 s","8.0+ s")))</f>
        <v>0–3.9 s</v>
      </c>
      <c r="P381" s="16">
        <v>100</v>
      </c>
      <c r="Q381" s="16" t="str">
        <f>IF(electric_vehicles_spec_2025_csv[[#This Row],[fast_charging_power_kw_dc]]&lt;50,"0–49 kW",IF(electric_vehicles_spec_2025_csv[[#This Row],[fast_charging_power_kw_dc]]&lt;100,"50–99 kW",IF(electric_vehicles_spec_2025_csv[[#This Row],[fast_charging_power_kw_dc]]&lt;150,"100–149 kW","150+ kW")))</f>
        <v>100–149 kW</v>
      </c>
      <c r="R381" s="16" t="s">
        <v>25</v>
      </c>
      <c r="S381" s="16">
        <v>1600</v>
      </c>
      <c r="T381" s="16" t="s">
        <v>977</v>
      </c>
      <c r="U381" s="16">
        <v>5</v>
      </c>
      <c r="V381" s="16" t="s">
        <v>70</v>
      </c>
      <c r="W381" s="16" t="s">
        <v>35</v>
      </c>
      <c r="X381" s="16">
        <v>4300</v>
      </c>
      <c r="Y381" s="16">
        <v>1822</v>
      </c>
      <c r="Z381" s="16">
        <v>1636</v>
      </c>
      <c r="AA381" s="16" t="s">
        <v>36</v>
      </c>
      <c r="AB381" s="16" t="s">
        <v>978</v>
      </c>
    </row>
    <row r="382" spans="1:28" x14ac:dyDescent="0.3">
      <c r="A382" s="16" t="s">
        <v>975</v>
      </c>
      <c r="B382" s="16" t="s">
        <v>979</v>
      </c>
      <c r="C382" s="16">
        <v>180</v>
      </c>
      <c r="D38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2" s="16">
        <v>62</v>
      </c>
      <c r="F382" s="16" t="str">
        <f>IF(electric_vehicles_spec_2025_csv[[#This Row],[battery_capacity_kWh]]&lt;=30, "0–30 kWh", IF(electric_vehicles_spec_2025_csv[[#This Row],[battery_capacity_kWh]]&lt;=60, "31–60 kWh", "61+ kWh"))</f>
        <v>61+ kWh</v>
      </c>
      <c r="G382" s="16" t="s">
        <v>24</v>
      </c>
      <c r="H382" s="16"/>
      <c r="I382" s="16">
        <v>343</v>
      </c>
      <c r="J382" s="16">
        <v>141</v>
      </c>
      <c r="K382" s="16" t="str">
        <f t="shared" si="5"/>
        <v>131–160 Wh/km</v>
      </c>
      <c r="L382" s="16">
        <v>335</v>
      </c>
      <c r="M382" s="16" t="str">
        <f>IF(electric_vehicles_spec_2025_csv[[#This Row],[range_km]]&lt;=200, "0–200 km",IF(electric_vehicles_spec_2025_csv[[#This Row],[range_km]]&lt;=400, "201–400 km", "401+ km"))</f>
        <v>201–400 km</v>
      </c>
      <c r="N382" s="16">
        <v>6.7</v>
      </c>
      <c r="O382" s="16" t="str">
        <f>IF(electric_vehicles_spec_2025_csv[[#This Row],[acceleration_0_100_s]]&lt;4,"0–3.9 s",IF(electric_vehicles_spec_2025_csv[[#This Row],[acceleration_0_100_s]]&lt;6,"4.0–5.9 s",IF(electric_vehicles_spec_2025_csv[[#This Row],[acceleration_0_100_s]]&lt;8,"6.0–7.9 s","8.0+ s")))</f>
        <v>6.0–7.9 s</v>
      </c>
      <c r="P382" s="16">
        <v>100</v>
      </c>
      <c r="Q382" s="16" t="str">
        <f>IF(electric_vehicles_spec_2025_csv[[#This Row],[fast_charging_power_kw_dc]]&lt;50,"0–49 kW",IF(electric_vehicles_spec_2025_csv[[#This Row],[fast_charging_power_kw_dc]]&lt;100,"50–99 kW",IF(electric_vehicles_spec_2025_csv[[#This Row],[fast_charging_power_kw_dc]]&lt;150,"100–149 kW","150+ kW")))</f>
        <v>100–149 kW</v>
      </c>
      <c r="R382" s="16" t="s">
        <v>25</v>
      </c>
      <c r="S382" s="16">
        <v>1600</v>
      </c>
      <c r="T382" s="16" t="s">
        <v>980</v>
      </c>
      <c r="U382" s="16">
        <v>5</v>
      </c>
      <c r="V382" s="16" t="s">
        <v>63</v>
      </c>
      <c r="W382" s="16" t="s">
        <v>35</v>
      </c>
      <c r="X382" s="16">
        <v>4270</v>
      </c>
      <c r="Y382" s="16">
        <v>1822</v>
      </c>
      <c r="Z382" s="16">
        <v>1636</v>
      </c>
      <c r="AA382" s="16" t="s">
        <v>36</v>
      </c>
      <c r="AB382" s="16" t="s">
        <v>981</v>
      </c>
    </row>
    <row r="383" spans="1:28" x14ac:dyDescent="0.3">
      <c r="A383" s="16" t="s">
        <v>975</v>
      </c>
      <c r="B383" s="16" t="s">
        <v>982</v>
      </c>
      <c r="C383" s="16">
        <v>180</v>
      </c>
      <c r="D38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3" s="16">
        <v>47</v>
      </c>
      <c r="F383" s="16" t="str">
        <f>IF(electric_vehicles_spec_2025_csv[[#This Row],[battery_capacity_kWh]]&lt;=30, "0–30 kWh", IF(electric_vehicles_spec_2025_csv[[#This Row],[battery_capacity_kWh]]&lt;=60, "31–60 kWh", "61+ kWh"))</f>
        <v>31–60 kWh</v>
      </c>
      <c r="G383" s="16" t="s">
        <v>24</v>
      </c>
      <c r="H383" s="16"/>
      <c r="I383" s="16">
        <v>343</v>
      </c>
      <c r="J383" s="16">
        <v>152</v>
      </c>
      <c r="K383" s="16" t="str">
        <f t="shared" si="5"/>
        <v>131–160 Wh/km</v>
      </c>
      <c r="L383" s="16">
        <v>250</v>
      </c>
      <c r="M383" s="16" t="str">
        <f>IF(electric_vehicles_spec_2025_csv[[#This Row],[range_km]]&lt;=200, "0–200 km",IF(electric_vehicles_spec_2025_csv[[#This Row],[range_km]]&lt;=400, "201–400 km", "401+ km"))</f>
        <v>201–400 km</v>
      </c>
      <c r="N383" s="16">
        <v>6.7</v>
      </c>
      <c r="O383" s="16" t="str">
        <f>IF(electric_vehicles_spec_2025_csv[[#This Row],[acceleration_0_100_s]]&lt;4,"0–3.9 s",IF(electric_vehicles_spec_2025_csv[[#This Row],[acceleration_0_100_s]]&lt;6,"4.0–5.9 s",IF(electric_vehicles_spec_2025_csv[[#This Row],[acceleration_0_100_s]]&lt;8,"6.0–7.9 s","8.0+ s")))</f>
        <v>6.0–7.9 s</v>
      </c>
      <c r="P383" s="16">
        <v>65</v>
      </c>
      <c r="Q383" s="16" t="str">
        <f>IF(electric_vehicles_spec_2025_csv[[#This Row],[fast_charging_power_kw_dc]]&lt;50,"0–49 kW",IF(electric_vehicles_spec_2025_csv[[#This Row],[fast_charging_power_kw_dc]]&lt;100,"50–99 kW",IF(electric_vehicles_spec_2025_csv[[#This Row],[fast_charging_power_kw_dc]]&lt;150,"100–149 kW","150+ kW")))</f>
        <v>50–99 kW</v>
      </c>
      <c r="R383" s="16" t="s">
        <v>25</v>
      </c>
      <c r="S383" s="16">
        <v>0</v>
      </c>
      <c r="T383" s="16" t="s">
        <v>980</v>
      </c>
      <c r="U383" s="16">
        <v>5</v>
      </c>
      <c r="V383" s="16" t="s">
        <v>63</v>
      </c>
      <c r="W383" s="16" t="s">
        <v>35</v>
      </c>
      <c r="X383" s="16">
        <v>4270</v>
      </c>
      <c r="Y383" s="16">
        <v>1822</v>
      </c>
      <c r="Z383" s="16">
        <v>1636</v>
      </c>
      <c r="AA383" s="16" t="s">
        <v>36</v>
      </c>
      <c r="AB383" s="16" t="s">
        <v>983</v>
      </c>
    </row>
    <row r="384" spans="1:28" x14ac:dyDescent="0.3">
      <c r="A384" s="16" t="s">
        <v>975</v>
      </c>
      <c r="B384" s="16" t="s">
        <v>984</v>
      </c>
      <c r="C384" s="16">
        <v>180</v>
      </c>
      <c r="D38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4" s="16">
        <v>62</v>
      </c>
      <c r="F384" s="16" t="str">
        <f>IF(electric_vehicles_spec_2025_csv[[#This Row],[battery_capacity_kWh]]&lt;=30, "0–30 kWh", IF(electric_vehicles_spec_2025_csv[[#This Row],[battery_capacity_kWh]]&lt;=60, "31–60 kWh", "61+ kWh"))</f>
        <v>61+ kWh</v>
      </c>
      <c r="G384" s="16" t="s">
        <v>24</v>
      </c>
      <c r="H384" s="16"/>
      <c r="I384" s="16">
        <v>343</v>
      </c>
      <c r="J384" s="16">
        <v>148</v>
      </c>
      <c r="K384" s="16" t="str">
        <f t="shared" si="5"/>
        <v>131–160 Wh/km</v>
      </c>
      <c r="L384" s="16">
        <v>335</v>
      </c>
      <c r="M384" s="16" t="str">
        <f>IF(electric_vehicles_spec_2025_csv[[#This Row],[range_km]]&lt;=200, "0–200 km",IF(electric_vehicles_spec_2025_csv[[#This Row],[range_km]]&lt;=400, "201–400 km", "401+ km"))</f>
        <v>201–400 km</v>
      </c>
      <c r="N384" s="16">
        <v>6.7</v>
      </c>
      <c r="O384" s="16" t="str">
        <f>IF(electric_vehicles_spec_2025_csv[[#This Row],[acceleration_0_100_s]]&lt;4,"0–3.9 s",IF(electric_vehicles_spec_2025_csv[[#This Row],[acceleration_0_100_s]]&lt;6,"4.0–5.9 s",IF(electric_vehicles_spec_2025_csv[[#This Row],[acceleration_0_100_s]]&lt;8,"6.0–7.9 s","8.0+ s")))</f>
        <v>6.0–7.9 s</v>
      </c>
      <c r="P384" s="16">
        <v>100</v>
      </c>
      <c r="Q384" s="16" t="str">
        <f>IF(electric_vehicles_spec_2025_csv[[#This Row],[fast_charging_power_kw_dc]]&lt;50,"0–49 kW",IF(electric_vehicles_spec_2025_csv[[#This Row],[fast_charging_power_kw_dc]]&lt;100,"50–99 kW",IF(electric_vehicles_spec_2025_csv[[#This Row],[fast_charging_power_kw_dc]]&lt;150,"100–149 kW","150+ kW")))</f>
        <v>100–149 kW</v>
      </c>
      <c r="R384" s="16" t="s">
        <v>25</v>
      </c>
      <c r="S384" s="16">
        <v>1600</v>
      </c>
      <c r="T384" s="16" t="s">
        <v>980</v>
      </c>
      <c r="U384" s="16">
        <v>5</v>
      </c>
      <c r="V384" s="16" t="s">
        <v>63</v>
      </c>
      <c r="W384" s="16" t="s">
        <v>35</v>
      </c>
      <c r="X384" s="16">
        <v>4270</v>
      </c>
      <c r="Y384" s="16">
        <v>1822</v>
      </c>
      <c r="Z384" s="16">
        <v>1636</v>
      </c>
      <c r="AA384" s="16" t="s">
        <v>36</v>
      </c>
      <c r="AB384" s="16" t="s">
        <v>985</v>
      </c>
    </row>
    <row r="385" spans="1:28" x14ac:dyDescent="0.3">
      <c r="A385" s="16" t="s">
        <v>975</v>
      </c>
      <c r="B385" s="16" t="s">
        <v>986</v>
      </c>
      <c r="C385" s="16">
        <v>180</v>
      </c>
      <c r="D38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5" s="16">
        <v>62</v>
      </c>
      <c r="F385" s="16" t="str">
        <f>IF(electric_vehicles_spec_2025_csv[[#This Row],[battery_capacity_kWh]]&lt;=30, "0–30 kWh", IF(electric_vehicles_spec_2025_csv[[#This Row],[battery_capacity_kWh]]&lt;=60, "31–60 kWh", "61+ kWh"))</f>
        <v>61+ kWh</v>
      </c>
      <c r="G385" s="16" t="s">
        <v>24</v>
      </c>
      <c r="H385" s="16"/>
      <c r="I385" s="16">
        <v>584</v>
      </c>
      <c r="J385" s="16">
        <v>155</v>
      </c>
      <c r="K385" s="16" t="str">
        <f t="shared" si="5"/>
        <v>131–160 Wh/km</v>
      </c>
      <c r="L385" s="16">
        <v>325</v>
      </c>
      <c r="M385" s="16" t="str">
        <f>IF(electric_vehicles_spec_2025_csv[[#This Row],[range_km]]&lt;=200, "0–200 km",IF(electric_vehicles_spec_2025_csv[[#This Row],[range_km]]&lt;=400, "201–400 km", "401+ km"))</f>
        <v>201–400 km</v>
      </c>
      <c r="N385" s="16">
        <v>4.5</v>
      </c>
      <c r="O385" s="16" t="str">
        <f>IF(electric_vehicles_spec_2025_csv[[#This Row],[acceleration_0_100_s]]&lt;4,"0–3.9 s",IF(electric_vehicles_spec_2025_csv[[#This Row],[acceleration_0_100_s]]&lt;6,"4.0–5.9 s",IF(electric_vehicles_spec_2025_csv[[#This Row],[acceleration_0_100_s]]&lt;8,"6.0–7.9 s","8.0+ s")))</f>
        <v>4.0–5.9 s</v>
      </c>
      <c r="P385" s="16">
        <v>100</v>
      </c>
      <c r="Q385" s="16" t="str">
        <f>IF(electric_vehicles_spec_2025_csv[[#This Row],[fast_charging_power_kw_dc]]&lt;50,"0–49 kW",IF(electric_vehicles_spec_2025_csv[[#This Row],[fast_charging_power_kw_dc]]&lt;100,"50–99 kW",IF(electric_vehicles_spec_2025_csv[[#This Row],[fast_charging_power_kw_dc]]&lt;150,"100–149 kW","150+ kW")))</f>
        <v>100–149 kW</v>
      </c>
      <c r="R385" s="16" t="s">
        <v>25</v>
      </c>
      <c r="S385" s="16">
        <v>1600</v>
      </c>
      <c r="T385" s="16" t="s">
        <v>977</v>
      </c>
      <c r="U385" s="16">
        <v>5</v>
      </c>
      <c r="V385" s="16" t="s">
        <v>70</v>
      </c>
      <c r="W385" s="16" t="s">
        <v>35</v>
      </c>
      <c r="X385" s="16">
        <v>4300</v>
      </c>
      <c r="Y385" s="16">
        <v>1822</v>
      </c>
      <c r="Z385" s="16">
        <v>1636</v>
      </c>
      <c r="AA385" s="16" t="s">
        <v>36</v>
      </c>
      <c r="AB385" s="16" t="s">
        <v>987</v>
      </c>
    </row>
    <row r="386" spans="1:28" x14ac:dyDescent="0.3">
      <c r="A386" s="16" t="s">
        <v>975</v>
      </c>
      <c r="B386" s="16" t="s">
        <v>988</v>
      </c>
      <c r="C386" s="16">
        <v>180</v>
      </c>
      <c r="D38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6" s="16">
        <v>47</v>
      </c>
      <c r="F386" s="16" t="str">
        <f>IF(electric_vehicles_spec_2025_csv[[#This Row],[battery_capacity_kWh]]&lt;=30, "0–30 kWh", IF(electric_vehicles_spec_2025_csv[[#This Row],[battery_capacity_kWh]]&lt;=60, "31–60 kWh", "61+ kWh"))</f>
        <v>31–60 kWh</v>
      </c>
      <c r="G386" s="16" t="s">
        <v>24</v>
      </c>
      <c r="H386" s="16"/>
      <c r="I386" s="16">
        <v>343</v>
      </c>
      <c r="J386" s="16">
        <v>152</v>
      </c>
      <c r="K386" s="16" t="str">
        <f t="shared" ref="K386:K449" si="6">IF(J386&lt;=130,"0–130 Wh/km",IF(J386&lt;=160,"131–160 Wh/km","161+ Wh/km"))</f>
        <v>131–160 Wh/km</v>
      </c>
      <c r="L386" s="16">
        <v>250</v>
      </c>
      <c r="M386" s="16" t="str">
        <f>IF(electric_vehicles_spec_2025_csv[[#This Row],[range_km]]&lt;=200, "0–200 km",IF(electric_vehicles_spec_2025_csv[[#This Row],[range_km]]&lt;=400, "201–400 km", "401+ km"))</f>
        <v>201–400 km</v>
      </c>
      <c r="N386" s="16">
        <v>6.7</v>
      </c>
      <c r="O386" s="16" t="str">
        <f>IF(electric_vehicles_spec_2025_csv[[#This Row],[acceleration_0_100_s]]&lt;4,"0–3.9 s",IF(electric_vehicles_spec_2025_csv[[#This Row],[acceleration_0_100_s]]&lt;6,"4.0–5.9 s",IF(electric_vehicles_spec_2025_csv[[#This Row],[acceleration_0_100_s]]&lt;8,"6.0–7.9 s","8.0+ s")))</f>
        <v>6.0–7.9 s</v>
      </c>
      <c r="P386" s="16">
        <v>65</v>
      </c>
      <c r="Q386" s="16" t="str">
        <f>IF(electric_vehicles_spec_2025_csv[[#This Row],[fast_charging_power_kw_dc]]&lt;50,"0–49 kW",IF(electric_vehicles_spec_2025_csv[[#This Row],[fast_charging_power_kw_dc]]&lt;100,"50–99 kW",IF(electric_vehicles_spec_2025_csv[[#This Row],[fast_charging_power_kw_dc]]&lt;150,"100–149 kW","150+ kW")))</f>
        <v>50–99 kW</v>
      </c>
      <c r="R386" s="16" t="s">
        <v>25</v>
      </c>
      <c r="S386" s="16">
        <v>0</v>
      </c>
      <c r="T386" s="16" t="s">
        <v>980</v>
      </c>
      <c r="U386" s="16">
        <v>5</v>
      </c>
      <c r="V386" s="16" t="s">
        <v>63</v>
      </c>
      <c r="W386" s="16" t="s">
        <v>35</v>
      </c>
      <c r="X386" s="16">
        <v>4270</v>
      </c>
      <c r="Y386" s="16">
        <v>1822</v>
      </c>
      <c r="Z386" s="16">
        <v>1636</v>
      </c>
      <c r="AA386" s="16" t="s">
        <v>36</v>
      </c>
      <c r="AB386" s="16" t="s">
        <v>989</v>
      </c>
    </row>
    <row r="387" spans="1:28" x14ac:dyDescent="0.3">
      <c r="A387" s="16" t="s">
        <v>975</v>
      </c>
      <c r="B387" s="16" t="s">
        <v>990</v>
      </c>
      <c r="C387" s="16">
        <v>180</v>
      </c>
      <c r="D38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7" s="16">
        <v>62</v>
      </c>
      <c r="F387" s="16" t="str">
        <f>IF(electric_vehicles_spec_2025_csv[[#This Row],[battery_capacity_kWh]]&lt;=30, "0–30 kWh", IF(electric_vehicles_spec_2025_csv[[#This Row],[battery_capacity_kWh]]&lt;=60, "31–60 kWh", "61+ kWh"))</f>
        <v>61+ kWh</v>
      </c>
      <c r="G387" s="16" t="s">
        <v>24</v>
      </c>
      <c r="H387" s="16"/>
      <c r="I387" s="16">
        <v>343</v>
      </c>
      <c r="J387" s="16">
        <v>148</v>
      </c>
      <c r="K387" s="16" t="str">
        <f t="shared" si="6"/>
        <v>131–160 Wh/km</v>
      </c>
      <c r="L387" s="16">
        <v>335</v>
      </c>
      <c r="M387" s="16" t="str">
        <f>IF(electric_vehicles_spec_2025_csv[[#This Row],[range_km]]&lt;=200, "0–200 km",IF(electric_vehicles_spec_2025_csv[[#This Row],[range_km]]&lt;=400, "201–400 km", "401+ km"))</f>
        <v>201–400 km</v>
      </c>
      <c r="N387" s="16">
        <v>6.7</v>
      </c>
      <c r="O387" s="16" t="str">
        <f>IF(electric_vehicles_spec_2025_csv[[#This Row],[acceleration_0_100_s]]&lt;4,"0–3.9 s",IF(electric_vehicles_spec_2025_csv[[#This Row],[acceleration_0_100_s]]&lt;6,"4.0–5.9 s",IF(electric_vehicles_spec_2025_csv[[#This Row],[acceleration_0_100_s]]&lt;8,"6.0–7.9 s","8.0+ s")))</f>
        <v>6.0–7.9 s</v>
      </c>
      <c r="P387" s="16">
        <v>100</v>
      </c>
      <c r="Q387" s="16" t="str">
        <f>IF(electric_vehicles_spec_2025_csv[[#This Row],[fast_charging_power_kw_dc]]&lt;50,"0–49 kW",IF(electric_vehicles_spec_2025_csv[[#This Row],[fast_charging_power_kw_dc]]&lt;100,"50–99 kW",IF(electric_vehicles_spec_2025_csv[[#This Row],[fast_charging_power_kw_dc]]&lt;150,"100–149 kW","150+ kW")))</f>
        <v>100–149 kW</v>
      </c>
      <c r="R387" s="16" t="s">
        <v>25</v>
      </c>
      <c r="S387" s="16">
        <v>1600</v>
      </c>
      <c r="T387" s="16" t="s">
        <v>980</v>
      </c>
      <c r="U387" s="16">
        <v>5</v>
      </c>
      <c r="V387" s="16" t="s">
        <v>63</v>
      </c>
      <c r="W387" s="16" t="s">
        <v>35</v>
      </c>
      <c r="X387" s="16">
        <v>4270</v>
      </c>
      <c r="Y387" s="16">
        <v>1822</v>
      </c>
      <c r="Z387" s="16">
        <v>1636</v>
      </c>
      <c r="AA387" s="16" t="s">
        <v>36</v>
      </c>
      <c r="AB387" s="16" t="s">
        <v>991</v>
      </c>
    </row>
    <row r="388" spans="1:28" x14ac:dyDescent="0.3">
      <c r="A388" s="16" t="s">
        <v>975</v>
      </c>
      <c r="B388" s="16" t="s">
        <v>992</v>
      </c>
      <c r="C388" s="16">
        <v>180</v>
      </c>
      <c r="D38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8" s="16">
        <v>62</v>
      </c>
      <c r="F388" s="16" t="str">
        <f>IF(electric_vehicles_spec_2025_csv[[#This Row],[battery_capacity_kWh]]&lt;=30, "0–30 kWh", IF(electric_vehicles_spec_2025_csv[[#This Row],[battery_capacity_kWh]]&lt;=60, "31–60 kWh", "61+ kWh"))</f>
        <v>61+ kWh</v>
      </c>
      <c r="G388" s="16" t="s">
        <v>24</v>
      </c>
      <c r="H388" s="16"/>
      <c r="I388" s="16">
        <v>543</v>
      </c>
      <c r="J388" s="16">
        <v>149</v>
      </c>
      <c r="K388" s="16" t="str">
        <f t="shared" si="6"/>
        <v>131–160 Wh/km</v>
      </c>
      <c r="L388" s="16">
        <v>335</v>
      </c>
      <c r="M388" s="16" t="str">
        <f>IF(electric_vehicles_spec_2025_csv[[#This Row],[range_km]]&lt;=200, "0–200 km",IF(electric_vehicles_spec_2025_csv[[#This Row],[range_km]]&lt;=400, "201–400 km", "401+ km"))</f>
        <v>201–400 km</v>
      </c>
      <c r="N388" s="16">
        <v>3.7</v>
      </c>
      <c r="O388" s="16" t="str">
        <f>IF(electric_vehicles_spec_2025_csv[[#This Row],[acceleration_0_100_s]]&lt;4,"0–3.9 s",IF(electric_vehicles_spec_2025_csv[[#This Row],[acceleration_0_100_s]]&lt;6,"4.0–5.9 s",IF(electric_vehicles_spec_2025_csv[[#This Row],[acceleration_0_100_s]]&lt;8,"6.0–7.9 s","8.0+ s")))</f>
        <v>0–3.9 s</v>
      </c>
      <c r="P388" s="16">
        <v>100</v>
      </c>
      <c r="Q388" s="16" t="str">
        <f>IF(electric_vehicles_spec_2025_csv[[#This Row],[fast_charging_power_kw_dc]]&lt;50,"0–49 kW",IF(electric_vehicles_spec_2025_csv[[#This Row],[fast_charging_power_kw_dc]]&lt;100,"50–99 kW",IF(electric_vehicles_spec_2025_csv[[#This Row],[fast_charging_power_kw_dc]]&lt;150,"100–149 kW","150+ kW")))</f>
        <v>100–149 kW</v>
      </c>
      <c r="R388" s="16" t="s">
        <v>25</v>
      </c>
      <c r="S388" s="16">
        <v>1600</v>
      </c>
      <c r="T388" s="16" t="s">
        <v>993</v>
      </c>
      <c r="U388" s="16">
        <v>5</v>
      </c>
      <c r="V388" s="16" t="s">
        <v>70</v>
      </c>
      <c r="W388" s="16" t="s">
        <v>35</v>
      </c>
      <c r="X388" s="16">
        <v>4400</v>
      </c>
      <c r="Y388" s="16">
        <v>1844</v>
      </c>
      <c r="Z388" s="16">
        <v>1556</v>
      </c>
      <c r="AA388" s="16" t="s">
        <v>36</v>
      </c>
      <c r="AB388" s="16" t="s">
        <v>994</v>
      </c>
    </row>
    <row r="389" spans="1:28" x14ac:dyDescent="0.3">
      <c r="A389" s="16" t="s">
        <v>975</v>
      </c>
      <c r="B389" s="16" t="s">
        <v>995</v>
      </c>
      <c r="C389" s="16">
        <v>180</v>
      </c>
      <c r="D38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89" s="16">
        <v>62</v>
      </c>
      <c r="F389" s="16" t="str">
        <f>IF(electric_vehicles_spec_2025_csv[[#This Row],[battery_capacity_kWh]]&lt;=30, "0–30 kWh", IF(electric_vehicles_spec_2025_csv[[#This Row],[battery_capacity_kWh]]&lt;=60, "31–60 kWh", "61+ kWh"))</f>
        <v>61+ kWh</v>
      </c>
      <c r="G389" s="16" t="s">
        <v>24</v>
      </c>
      <c r="H389" s="16"/>
      <c r="I389" s="16">
        <v>343</v>
      </c>
      <c r="J389" s="16">
        <v>136</v>
      </c>
      <c r="K389" s="16" t="str">
        <f t="shared" si="6"/>
        <v>131–160 Wh/km</v>
      </c>
      <c r="L389" s="16">
        <v>355</v>
      </c>
      <c r="M389" s="16" t="str">
        <f>IF(electric_vehicles_spec_2025_csv[[#This Row],[range_km]]&lt;=200, "0–200 km",IF(electric_vehicles_spec_2025_csv[[#This Row],[range_km]]&lt;=400, "201–400 km", "401+ km"))</f>
        <v>201–400 km</v>
      </c>
      <c r="N389" s="16">
        <v>5.8</v>
      </c>
      <c r="O389" s="16" t="str">
        <f>IF(electric_vehicles_spec_2025_csv[[#This Row],[acceleration_0_100_s]]&lt;4,"0–3.9 s",IF(electric_vehicles_spec_2025_csv[[#This Row],[acceleration_0_100_s]]&lt;6,"4.0–5.9 s",IF(electric_vehicles_spec_2025_csv[[#This Row],[acceleration_0_100_s]]&lt;8,"6.0–7.9 s","8.0+ s")))</f>
        <v>4.0–5.9 s</v>
      </c>
      <c r="P389" s="16">
        <v>110</v>
      </c>
      <c r="Q389" s="16" t="str">
        <f>IF(electric_vehicles_spec_2025_csv[[#This Row],[fast_charging_power_kw_dc]]&lt;50,"0–49 kW",IF(electric_vehicles_spec_2025_csv[[#This Row],[fast_charging_power_kw_dc]]&lt;100,"50–99 kW",IF(electric_vehicles_spec_2025_csv[[#This Row],[fast_charging_power_kw_dc]]&lt;150,"100–149 kW","150+ kW")))</f>
        <v>100–149 kW</v>
      </c>
      <c r="R389" s="16" t="s">
        <v>25</v>
      </c>
      <c r="S389" s="16">
        <v>1600</v>
      </c>
      <c r="T389" s="16" t="s">
        <v>993</v>
      </c>
      <c r="U389" s="16">
        <v>5</v>
      </c>
      <c r="V389" s="16" t="s">
        <v>63</v>
      </c>
      <c r="W389" s="16" t="s">
        <v>35</v>
      </c>
      <c r="X389" s="16">
        <v>4400</v>
      </c>
      <c r="Y389" s="16">
        <v>1844</v>
      </c>
      <c r="Z389" s="16">
        <v>1556</v>
      </c>
      <c r="AA389" s="16" t="s">
        <v>36</v>
      </c>
      <c r="AB389" s="16" t="s">
        <v>996</v>
      </c>
    </row>
    <row r="390" spans="1:28" x14ac:dyDescent="0.3">
      <c r="A390" s="16" t="s">
        <v>975</v>
      </c>
      <c r="B390" s="16" t="s">
        <v>997</v>
      </c>
      <c r="C390" s="16">
        <v>180</v>
      </c>
      <c r="D39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90" s="16">
        <v>47</v>
      </c>
      <c r="F390" s="16" t="str">
        <f>IF(electric_vehicles_spec_2025_csv[[#This Row],[battery_capacity_kWh]]&lt;=30, "0–30 kWh", IF(electric_vehicles_spec_2025_csv[[#This Row],[battery_capacity_kWh]]&lt;=60, "31–60 kWh", "61+ kWh"))</f>
        <v>31–60 kWh</v>
      </c>
      <c r="G390" s="16" t="s">
        <v>24</v>
      </c>
      <c r="H390" s="16"/>
      <c r="I390" s="16">
        <v>343</v>
      </c>
      <c r="J390" s="16">
        <v>145</v>
      </c>
      <c r="K390" s="16" t="str">
        <f t="shared" si="6"/>
        <v>131–160 Wh/km</v>
      </c>
      <c r="L390" s="16">
        <v>265</v>
      </c>
      <c r="M390" s="16" t="str">
        <f>IF(electric_vehicles_spec_2025_csv[[#This Row],[range_km]]&lt;=200, "0–200 km",IF(electric_vehicles_spec_2025_csv[[#This Row],[range_km]]&lt;=400, "201–400 km", "401+ km"))</f>
        <v>201–400 km</v>
      </c>
      <c r="N390" s="16">
        <v>5.9</v>
      </c>
      <c r="O390" s="16" t="str">
        <f>IF(electric_vehicles_spec_2025_csv[[#This Row],[acceleration_0_100_s]]&lt;4,"0–3.9 s",IF(electric_vehicles_spec_2025_csv[[#This Row],[acceleration_0_100_s]]&lt;6,"4.0–5.9 s",IF(electric_vehicles_spec_2025_csv[[#This Row],[acceleration_0_100_s]]&lt;8,"6.0–7.9 s","8.0+ s")))</f>
        <v>4.0–5.9 s</v>
      </c>
      <c r="P390" s="16">
        <v>65</v>
      </c>
      <c r="Q390" s="16" t="str">
        <f>IF(electric_vehicles_spec_2025_csv[[#This Row],[fast_charging_power_kw_dc]]&lt;50,"0–49 kW",IF(electric_vehicles_spec_2025_csv[[#This Row],[fast_charging_power_kw_dc]]&lt;100,"50–99 kW",IF(electric_vehicles_spec_2025_csv[[#This Row],[fast_charging_power_kw_dc]]&lt;150,"100–149 kW","150+ kW")))</f>
        <v>50–99 kW</v>
      </c>
      <c r="R390" s="16" t="s">
        <v>25</v>
      </c>
      <c r="S390" s="16">
        <v>0</v>
      </c>
      <c r="T390" s="16" t="s">
        <v>993</v>
      </c>
      <c r="U390" s="16">
        <v>5</v>
      </c>
      <c r="V390" s="16" t="s">
        <v>63</v>
      </c>
      <c r="W390" s="16" t="s">
        <v>35</v>
      </c>
      <c r="X390" s="16">
        <v>4400</v>
      </c>
      <c r="Y390" s="16">
        <v>1844</v>
      </c>
      <c r="Z390" s="16">
        <v>1556</v>
      </c>
      <c r="AA390" s="16" t="s">
        <v>36</v>
      </c>
      <c r="AB390" s="16" t="s">
        <v>998</v>
      </c>
    </row>
    <row r="391" spans="1:28" x14ac:dyDescent="0.3">
      <c r="A391" s="16" t="s">
        <v>975</v>
      </c>
      <c r="B391" s="16" t="s">
        <v>999</v>
      </c>
      <c r="C391" s="16">
        <v>180</v>
      </c>
      <c r="D39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391" s="16">
        <v>62</v>
      </c>
      <c r="F391" s="16" t="str">
        <f>IF(electric_vehicles_spec_2025_csv[[#This Row],[battery_capacity_kWh]]&lt;=30, "0–30 kWh", IF(electric_vehicles_spec_2025_csv[[#This Row],[battery_capacity_kWh]]&lt;=60, "31–60 kWh", "61+ kWh"))</f>
        <v>61+ kWh</v>
      </c>
      <c r="G391" s="16" t="s">
        <v>24</v>
      </c>
      <c r="H391" s="16"/>
      <c r="I391" s="16">
        <v>343</v>
      </c>
      <c r="J391" s="16">
        <v>143</v>
      </c>
      <c r="K391" s="16" t="str">
        <f t="shared" si="6"/>
        <v>131–160 Wh/km</v>
      </c>
      <c r="L391" s="16">
        <v>355</v>
      </c>
      <c r="M391" s="16" t="str">
        <f>IF(electric_vehicles_spec_2025_csv[[#This Row],[range_km]]&lt;=200, "0–200 km",IF(electric_vehicles_spec_2025_csv[[#This Row],[range_km]]&lt;=400, "201–400 km", "401+ km"))</f>
        <v>201–400 km</v>
      </c>
      <c r="N391" s="16">
        <v>5.8</v>
      </c>
      <c r="O391" s="16" t="str">
        <f>IF(electric_vehicles_spec_2025_csv[[#This Row],[acceleration_0_100_s]]&lt;4,"0–3.9 s",IF(electric_vehicles_spec_2025_csv[[#This Row],[acceleration_0_100_s]]&lt;6,"4.0–5.9 s",IF(electric_vehicles_spec_2025_csv[[#This Row],[acceleration_0_100_s]]&lt;8,"6.0–7.9 s","8.0+ s")))</f>
        <v>4.0–5.9 s</v>
      </c>
      <c r="P391" s="16">
        <v>110</v>
      </c>
      <c r="Q391" s="16" t="str">
        <f>IF(electric_vehicles_spec_2025_csv[[#This Row],[fast_charging_power_kw_dc]]&lt;50,"0–49 kW",IF(electric_vehicles_spec_2025_csv[[#This Row],[fast_charging_power_kw_dc]]&lt;100,"50–99 kW",IF(electric_vehicles_spec_2025_csv[[#This Row],[fast_charging_power_kw_dc]]&lt;150,"100–149 kW","150+ kW")))</f>
        <v>100–149 kW</v>
      </c>
      <c r="R391" s="16" t="s">
        <v>25</v>
      </c>
      <c r="S391" s="16">
        <v>1600</v>
      </c>
      <c r="T391" s="16" t="s">
        <v>993</v>
      </c>
      <c r="U391" s="16">
        <v>5</v>
      </c>
      <c r="V391" s="16" t="s">
        <v>63</v>
      </c>
      <c r="W391" s="16" t="s">
        <v>35</v>
      </c>
      <c r="X391" s="16">
        <v>4400</v>
      </c>
      <c r="Y391" s="16">
        <v>1844</v>
      </c>
      <c r="Z391" s="16">
        <v>1556</v>
      </c>
      <c r="AA391" s="16" t="s">
        <v>36</v>
      </c>
      <c r="AB391" s="16" t="s">
        <v>1000</v>
      </c>
    </row>
    <row r="392" spans="1:28" x14ac:dyDescent="0.3">
      <c r="A392" s="16" t="s">
        <v>975</v>
      </c>
      <c r="B392" s="16" t="s">
        <v>1001</v>
      </c>
      <c r="C392" s="16">
        <v>210</v>
      </c>
      <c r="D39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92" s="16">
        <v>94</v>
      </c>
      <c r="F392" s="16" t="str">
        <f>IF(electric_vehicles_spec_2025_csv[[#This Row],[battery_capacity_kWh]]&lt;=30, "0–30 kWh", IF(electric_vehicles_spec_2025_csv[[#This Row],[battery_capacity_kWh]]&lt;=60, "31–60 kWh", "61+ kWh"))</f>
        <v>61+ kWh</v>
      </c>
      <c r="G392" s="16" t="s">
        <v>24</v>
      </c>
      <c r="H392" s="16"/>
      <c r="I392" s="16">
        <v>710</v>
      </c>
      <c r="J392" s="16">
        <v>174</v>
      </c>
      <c r="K392" s="16" t="str">
        <f t="shared" si="6"/>
        <v>161+ Wh/km</v>
      </c>
      <c r="L392" s="16">
        <v>450</v>
      </c>
      <c r="M392" s="16" t="str">
        <f>IF(electric_vehicles_spec_2025_csv[[#This Row],[range_km]]&lt;=200, "0–200 km",IF(electric_vehicles_spec_2025_csv[[#This Row],[range_km]]&lt;=400, "201–400 km", "401+ km"))</f>
        <v>401+ km</v>
      </c>
      <c r="N392" s="16">
        <v>3.8</v>
      </c>
      <c r="O392" s="16" t="str">
        <f>IF(electric_vehicles_spec_2025_csv[[#This Row],[acceleration_0_100_s]]&lt;4,"0–3.9 s",IF(electric_vehicles_spec_2025_csv[[#This Row],[acceleration_0_100_s]]&lt;6,"4.0–5.9 s",IF(electric_vehicles_spec_2025_csv[[#This Row],[acceleration_0_100_s]]&lt;8,"6.0–7.9 s","8.0+ s")))</f>
        <v>0–3.9 s</v>
      </c>
      <c r="P392" s="16">
        <v>230</v>
      </c>
      <c r="Q392" s="16" t="str">
        <f>IF(electric_vehicles_spec_2025_csv[[#This Row],[fast_charging_power_kw_dc]]&lt;50,"0–49 kW",IF(electric_vehicles_spec_2025_csv[[#This Row],[fast_charging_power_kw_dc]]&lt;100,"50–99 kW",IF(electric_vehicles_spec_2025_csv[[#This Row],[fast_charging_power_kw_dc]]&lt;150,"100–149 kW","150+ kW")))</f>
        <v>150+ kW</v>
      </c>
      <c r="R392" s="16" t="s">
        <v>25</v>
      </c>
      <c r="S392" s="16">
        <v>1600</v>
      </c>
      <c r="T392" s="16" t="s">
        <v>1002</v>
      </c>
      <c r="U392" s="16">
        <v>5</v>
      </c>
      <c r="V392" s="16" t="s">
        <v>70</v>
      </c>
      <c r="W392" s="16" t="s">
        <v>99</v>
      </c>
      <c r="X392" s="16">
        <v>4695</v>
      </c>
      <c r="Y392" s="16">
        <v>1920</v>
      </c>
      <c r="Z392" s="16">
        <v>1705</v>
      </c>
      <c r="AA392" s="16" t="s">
        <v>36</v>
      </c>
      <c r="AB392" s="16" t="s">
        <v>1003</v>
      </c>
    </row>
    <row r="393" spans="1:28" x14ac:dyDescent="0.3">
      <c r="A393" s="16" t="s">
        <v>975</v>
      </c>
      <c r="B393" s="16" t="s">
        <v>1004</v>
      </c>
      <c r="C393" s="16">
        <v>200</v>
      </c>
      <c r="D39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93" s="16">
        <v>94</v>
      </c>
      <c r="F393" s="16" t="str">
        <f>IF(electric_vehicles_spec_2025_csv[[#This Row],[battery_capacity_kWh]]&lt;=30, "0–30 kWh", IF(electric_vehicles_spec_2025_csv[[#This Row],[battery_capacity_kWh]]&lt;=60, "31–60 kWh", "61+ kWh"))</f>
        <v>61+ kWh</v>
      </c>
      <c r="G393" s="16" t="s">
        <v>24</v>
      </c>
      <c r="H393" s="16"/>
      <c r="I393" s="16">
        <v>373</v>
      </c>
      <c r="J393" s="16">
        <v>159</v>
      </c>
      <c r="K393" s="16" t="str">
        <f t="shared" si="6"/>
        <v>131–160 Wh/km</v>
      </c>
      <c r="L393" s="16">
        <v>465</v>
      </c>
      <c r="M393" s="16" t="str">
        <f>IF(electric_vehicles_spec_2025_csv[[#This Row],[range_km]]&lt;=200, "0–200 km",IF(electric_vehicles_spec_2025_csv[[#This Row],[range_km]]&lt;=400, "201–400 km", "401+ km"))</f>
        <v>401+ km</v>
      </c>
      <c r="N393" s="16">
        <v>6.5</v>
      </c>
      <c r="O393" s="16" t="str">
        <f>IF(electric_vehicles_spec_2025_csv[[#This Row],[acceleration_0_100_s]]&lt;4,"0–3.9 s",IF(electric_vehicles_spec_2025_csv[[#This Row],[acceleration_0_100_s]]&lt;6,"4.0–5.9 s",IF(electric_vehicles_spec_2025_csv[[#This Row],[acceleration_0_100_s]]&lt;8,"6.0–7.9 s","8.0+ s")))</f>
        <v>6.0–7.9 s</v>
      </c>
      <c r="P393" s="16">
        <v>230</v>
      </c>
      <c r="Q393" s="16" t="str">
        <f>IF(electric_vehicles_spec_2025_csv[[#This Row],[fast_charging_power_kw_dc]]&lt;50,"0–49 kW",IF(electric_vehicles_spec_2025_csv[[#This Row],[fast_charging_power_kw_dc]]&lt;100,"50–99 kW",IF(electric_vehicles_spec_2025_csv[[#This Row],[fast_charging_power_kw_dc]]&lt;150,"100–149 kW","150+ kW")))</f>
        <v>150+ kW</v>
      </c>
      <c r="R393" s="16" t="s">
        <v>25</v>
      </c>
      <c r="S393" s="16">
        <v>1600</v>
      </c>
      <c r="T393" s="16" t="s">
        <v>1002</v>
      </c>
      <c r="U393" s="16">
        <v>5</v>
      </c>
      <c r="V393" s="16" t="s">
        <v>63</v>
      </c>
      <c r="W393" s="16" t="s">
        <v>99</v>
      </c>
      <c r="X393" s="16">
        <v>4695</v>
      </c>
      <c r="Y393" s="16">
        <v>1920</v>
      </c>
      <c r="Z393" s="16">
        <v>1705</v>
      </c>
      <c r="AA393" s="16" t="s">
        <v>36</v>
      </c>
      <c r="AB393" s="16" t="s">
        <v>1005</v>
      </c>
    </row>
    <row r="394" spans="1:28" x14ac:dyDescent="0.3">
      <c r="A394" s="16" t="s">
        <v>975</v>
      </c>
      <c r="B394" s="16" t="s">
        <v>1006</v>
      </c>
      <c r="C394" s="16">
        <v>200</v>
      </c>
      <c r="D39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94" s="16">
        <v>74.400000000000006</v>
      </c>
      <c r="F394" s="16" t="str">
        <f>IF(electric_vehicles_spec_2025_csv[[#This Row],[battery_capacity_kWh]]&lt;=30, "0–30 kWh", IF(electric_vehicles_spec_2025_csv[[#This Row],[battery_capacity_kWh]]&lt;=60, "31–60 kWh", "61+ kWh"))</f>
        <v>61+ kWh</v>
      </c>
      <c r="G394" s="16" t="s">
        <v>24</v>
      </c>
      <c r="H394" s="16"/>
      <c r="I394" s="16">
        <v>373</v>
      </c>
      <c r="J394" s="16">
        <v>160</v>
      </c>
      <c r="K394" s="16" t="str">
        <f t="shared" si="6"/>
        <v>131–160 Wh/km</v>
      </c>
      <c r="L394" s="16">
        <v>370</v>
      </c>
      <c r="M394" s="16" t="str">
        <f>IF(electric_vehicles_spec_2025_csv[[#This Row],[range_km]]&lt;=200, "0–200 km",IF(electric_vehicles_spec_2025_csv[[#This Row],[range_km]]&lt;=400, "201–400 km", "401+ km"))</f>
        <v>201–400 km</v>
      </c>
      <c r="N394" s="16">
        <v>6.9</v>
      </c>
      <c r="O394" s="16" t="str">
        <f>IF(electric_vehicles_spec_2025_csv[[#This Row],[acceleration_0_100_s]]&lt;4,"0–3.9 s",IF(electric_vehicles_spec_2025_csv[[#This Row],[acceleration_0_100_s]]&lt;6,"4.0–5.9 s",IF(electric_vehicles_spec_2025_csv[[#This Row],[acceleration_0_100_s]]&lt;8,"6.0–7.9 s","8.0+ s")))</f>
        <v>6.0–7.9 s</v>
      </c>
      <c r="P394" s="16">
        <v>110</v>
      </c>
      <c r="Q394" s="16" t="str">
        <f>IF(electric_vehicles_spec_2025_csv[[#This Row],[fast_charging_power_kw_dc]]&lt;50,"0–49 kW",IF(electric_vehicles_spec_2025_csv[[#This Row],[fast_charging_power_kw_dc]]&lt;100,"50–99 kW",IF(electric_vehicles_spec_2025_csv[[#This Row],[fast_charging_power_kw_dc]]&lt;150,"100–149 kW","150+ kW")))</f>
        <v>100–149 kW</v>
      </c>
      <c r="R394" s="16" t="s">
        <v>25</v>
      </c>
      <c r="S394" s="16">
        <v>1600</v>
      </c>
      <c r="T394" s="16" t="s">
        <v>1002</v>
      </c>
      <c r="U394" s="16">
        <v>5</v>
      </c>
      <c r="V394" s="16" t="s">
        <v>63</v>
      </c>
      <c r="W394" s="16" t="s">
        <v>99</v>
      </c>
      <c r="X394" s="16">
        <v>4695</v>
      </c>
      <c r="Y394" s="16">
        <v>1920</v>
      </c>
      <c r="Z394" s="16">
        <v>1705</v>
      </c>
      <c r="AA394" s="16" t="s">
        <v>36</v>
      </c>
      <c r="AB394" s="16" t="s">
        <v>1007</v>
      </c>
    </row>
    <row r="395" spans="1:28" x14ac:dyDescent="0.3">
      <c r="A395" s="16" t="s">
        <v>975</v>
      </c>
      <c r="B395" s="16" t="s">
        <v>1008</v>
      </c>
      <c r="C395" s="16">
        <v>200</v>
      </c>
      <c r="D39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95" s="16">
        <v>94</v>
      </c>
      <c r="F395" s="16" t="str">
        <f>IF(electric_vehicles_spec_2025_csv[[#This Row],[battery_capacity_kWh]]&lt;=30, "0–30 kWh", IF(electric_vehicles_spec_2025_csv[[#This Row],[battery_capacity_kWh]]&lt;=60, "31–60 kWh", "61+ kWh"))</f>
        <v>61+ kWh</v>
      </c>
      <c r="G395" s="16" t="s">
        <v>24</v>
      </c>
      <c r="H395" s="16"/>
      <c r="I395" s="16">
        <v>373</v>
      </c>
      <c r="J395" s="16">
        <v>159</v>
      </c>
      <c r="K395" s="16" t="str">
        <f t="shared" si="6"/>
        <v>131–160 Wh/km</v>
      </c>
      <c r="L395" s="16">
        <v>465</v>
      </c>
      <c r="M395" s="16" t="str">
        <f>IF(electric_vehicles_spec_2025_csv[[#This Row],[range_km]]&lt;=200, "0–200 km",IF(electric_vehicles_spec_2025_csv[[#This Row],[range_km]]&lt;=400, "201–400 km", "401+ km"))</f>
        <v>401+ km</v>
      </c>
      <c r="N395" s="16">
        <v>6.5</v>
      </c>
      <c r="O395" s="16" t="str">
        <f>IF(electric_vehicles_spec_2025_csv[[#This Row],[acceleration_0_100_s]]&lt;4,"0–3.9 s",IF(electric_vehicles_spec_2025_csv[[#This Row],[acceleration_0_100_s]]&lt;6,"4.0–5.9 s",IF(electric_vehicles_spec_2025_csv[[#This Row],[acceleration_0_100_s]]&lt;8,"6.0–7.9 s","8.0+ s")))</f>
        <v>6.0–7.9 s</v>
      </c>
      <c r="P395" s="16">
        <v>230</v>
      </c>
      <c r="Q395" s="16" t="str">
        <f>IF(electric_vehicles_spec_2025_csv[[#This Row],[fast_charging_power_kw_dc]]&lt;50,"0–49 kW",IF(electric_vehicles_spec_2025_csv[[#This Row],[fast_charging_power_kw_dc]]&lt;100,"50–99 kW",IF(electric_vehicles_spec_2025_csv[[#This Row],[fast_charging_power_kw_dc]]&lt;150,"100–149 kW","150+ kW")))</f>
        <v>150+ kW</v>
      </c>
      <c r="R395" s="16" t="s">
        <v>25</v>
      </c>
      <c r="S395" s="16">
        <v>1600</v>
      </c>
      <c r="T395" s="16" t="s">
        <v>1002</v>
      </c>
      <c r="U395" s="16">
        <v>5</v>
      </c>
      <c r="V395" s="16" t="s">
        <v>63</v>
      </c>
      <c r="W395" s="16" t="s">
        <v>99</v>
      </c>
      <c r="X395" s="16">
        <v>4695</v>
      </c>
      <c r="Y395" s="16">
        <v>1920</v>
      </c>
      <c r="Z395" s="16">
        <v>1705</v>
      </c>
      <c r="AA395" s="16" t="s">
        <v>36</v>
      </c>
      <c r="AB395" s="16" t="s">
        <v>1009</v>
      </c>
    </row>
    <row r="396" spans="1:28" x14ac:dyDescent="0.3">
      <c r="A396" s="16" t="s">
        <v>975</v>
      </c>
      <c r="B396" s="16" t="s">
        <v>1010</v>
      </c>
      <c r="C396" s="16">
        <v>200</v>
      </c>
      <c r="D39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96" s="16">
        <v>94</v>
      </c>
      <c r="F396" s="16" t="str">
        <f>IF(electric_vehicles_spec_2025_csv[[#This Row],[battery_capacity_kWh]]&lt;=30, "0–30 kWh", IF(electric_vehicles_spec_2025_csv[[#This Row],[battery_capacity_kWh]]&lt;=60, "31–60 kWh", "61+ kWh"))</f>
        <v>61+ kWh</v>
      </c>
      <c r="G396" s="16" t="s">
        <v>24</v>
      </c>
      <c r="H396" s="16"/>
      <c r="I396" s="16">
        <v>643</v>
      </c>
      <c r="J396" s="16">
        <v>174</v>
      </c>
      <c r="K396" s="16" t="str">
        <f t="shared" si="6"/>
        <v>161+ Wh/km</v>
      </c>
      <c r="L396" s="16">
        <v>455</v>
      </c>
      <c r="M396" s="16" t="str">
        <f>IF(electric_vehicles_spec_2025_csv[[#This Row],[range_km]]&lt;=200, "0–200 km",IF(electric_vehicles_spec_2025_csv[[#This Row],[range_km]]&lt;=400, "201–400 km", "401+ km"))</f>
        <v>401+ km</v>
      </c>
      <c r="N396" s="16">
        <v>4.9000000000000004</v>
      </c>
      <c r="O396" s="16" t="str">
        <f>IF(electric_vehicles_spec_2025_csv[[#This Row],[acceleration_0_100_s]]&lt;4,"0–3.9 s",IF(electric_vehicles_spec_2025_csv[[#This Row],[acceleration_0_100_s]]&lt;6,"4.0–5.9 s",IF(electric_vehicles_spec_2025_csv[[#This Row],[acceleration_0_100_s]]&lt;8,"6.0–7.9 s","8.0+ s")))</f>
        <v>4.0–5.9 s</v>
      </c>
      <c r="P396" s="16">
        <v>230</v>
      </c>
      <c r="Q396" s="16" t="str">
        <f>IF(electric_vehicles_spec_2025_csv[[#This Row],[fast_charging_power_kw_dc]]&lt;50,"0–49 kW",IF(electric_vehicles_spec_2025_csv[[#This Row],[fast_charging_power_kw_dc]]&lt;100,"50–99 kW",IF(electric_vehicles_spec_2025_csv[[#This Row],[fast_charging_power_kw_dc]]&lt;150,"100–149 kW","150+ kW")))</f>
        <v>150+ kW</v>
      </c>
      <c r="R396" s="16" t="s">
        <v>25</v>
      </c>
      <c r="S396" s="16">
        <v>1600</v>
      </c>
      <c r="T396" s="16" t="s">
        <v>1002</v>
      </c>
      <c r="U396" s="16">
        <v>5</v>
      </c>
      <c r="V396" s="16" t="s">
        <v>70</v>
      </c>
      <c r="W396" s="16" t="s">
        <v>99</v>
      </c>
      <c r="X396" s="16">
        <v>4695</v>
      </c>
      <c r="Y396" s="16">
        <v>1920</v>
      </c>
      <c r="Z396" s="16">
        <v>1705</v>
      </c>
      <c r="AA396" s="16" t="s">
        <v>36</v>
      </c>
      <c r="AB396" s="16" t="s">
        <v>1011</v>
      </c>
    </row>
    <row r="397" spans="1:28" x14ac:dyDescent="0.3">
      <c r="A397" s="16" t="s">
        <v>975</v>
      </c>
      <c r="B397" s="16" t="s">
        <v>1012</v>
      </c>
      <c r="C397" s="16">
        <v>200</v>
      </c>
      <c r="D39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97" s="16">
        <v>94</v>
      </c>
      <c r="F397" s="16" t="str">
        <f>IF(electric_vehicles_spec_2025_csv[[#This Row],[battery_capacity_kWh]]&lt;=30, "0–30 kWh", IF(electric_vehicles_spec_2025_csv[[#This Row],[battery_capacity_kWh]]&lt;=60, "31–60 kWh", "61+ kWh"))</f>
        <v>61+ kWh</v>
      </c>
      <c r="G397" s="16" t="s">
        <v>24</v>
      </c>
      <c r="H397" s="16"/>
      <c r="I397" s="16">
        <v>643</v>
      </c>
      <c r="J397" s="16">
        <v>174</v>
      </c>
      <c r="K397" s="16" t="str">
        <f t="shared" si="6"/>
        <v>161+ Wh/km</v>
      </c>
      <c r="L397" s="16">
        <v>455</v>
      </c>
      <c r="M397" s="16" t="str">
        <f>IF(electric_vehicles_spec_2025_csv[[#This Row],[range_km]]&lt;=200, "0–200 km",IF(electric_vehicles_spec_2025_csv[[#This Row],[range_km]]&lt;=400, "201–400 km", "401+ km"))</f>
        <v>401+ km</v>
      </c>
      <c r="N397" s="16">
        <v>4.9000000000000004</v>
      </c>
      <c r="O397" s="16" t="str">
        <f>IF(electric_vehicles_spec_2025_csv[[#This Row],[acceleration_0_100_s]]&lt;4,"0–3.9 s",IF(electric_vehicles_spec_2025_csv[[#This Row],[acceleration_0_100_s]]&lt;6,"4.0–5.9 s",IF(electric_vehicles_spec_2025_csv[[#This Row],[acceleration_0_100_s]]&lt;8,"6.0–7.9 s","8.0+ s")))</f>
        <v>4.0–5.9 s</v>
      </c>
      <c r="P397" s="16">
        <v>230</v>
      </c>
      <c r="Q397" s="16" t="str">
        <f>IF(electric_vehicles_spec_2025_csv[[#This Row],[fast_charging_power_kw_dc]]&lt;50,"0–49 kW",IF(electric_vehicles_spec_2025_csv[[#This Row],[fast_charging_power_kw_dc]]&lt;100,"50–99 kW",IF(electric_vehicles_spec_2025_csv[[#This Row],[fast_charging_power_kw_dc]]&lt;150,"100–149 kW","150+ kW")))</f>
        <v>150+ kW</v>
      </c>
      <c r="R397" s="16" t="s">
        <v>25</v>
      </c>
      <c r="S397" s="16">
        <v>1600</v>
      </c>
      <c r="T397" s="16" t="s">
        <v>1002</v>
      </c>
      <c r="U397" s="16">
        <v>5</v>
      </c>
      <c r="V397" s="16" t="s">
        <v>70</v>
      </c>
      <c r="W397" s="16" t="s">
        <v>99</v>
      </c>
      <c r="X397" s="16">
        <v>4695</v>
      </c>
      <c r="Y397" s="16">
        <v>1920</v>
      </c>
      <c r="Z397" s="16">
        <v>1705</v>
      </c>
      <c r="AA397" s="16" t="s">
        <v>36</v>
      </c>
      <c r="AB397" s="16" t="s">
        <v>1013</v>
      </c>
    </row>
    <row r="398" spans="1:28" x14ac:dyDescent="0.3">
      <c r="A398" s="16" t="s">
        <v>1014</v>
      </c>
      <c r="B398" s="16" t="s">
        <v>1015</v>
      </c>
      <c r="C398" s="16">
        <v>160</v>
      </c>
      <c r="D39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398" s="16">
        <v>64</v>
      </c>
      <c r="F398" s="16" t="str">
        <f>IF(electric_vehicles_spec_2025_csv[[#This Row],[battery_capacity_kWh]]&lt;=30, "0–30 kWh", IF(electric_vehicles_spec_2025_csv[[#This Row],[battery_capacity_kWh]]&lt;=60, "31–60 kWh", "61+ kWh"))</f>
        <v>61+ kWh</v>
      </c>
      <c r="G398" s="16" t="s">
        <v>24</v>
      </c>
      <c r="H398" s="16">
        <v>96</v>
      </c>
      <c r="I398" s="16">
        <v>336</v>
      </c>
      <c r="J398" s="16">
        <v>154</v>
      </c>
      <c r="K398" s="16" t="str">
        <f t="shared" si="6"/>
        <v>131–160 Wh/km</v>
      </c>
      <c r="L398" s="16">
        <v>320</v>
      </c>
      <c r="M398" s="16" t="str">
        <f>IF(electric_vehicles_spec_2025_csv[[#This Row],[range_km]]&lt;=200, "0–200 km",IF(electric_vehicles_spec_2025_csv[[#This Row],[range_km]]&lt;=400, "201–400 km", "401+ km"))</f>
        <v>201–400 km</v>
      </c>
      <c r="N398" s="16">
        <v>6.9</v>
      </c>
      <c r="O398" s="16" t="str">
        <f>IF(electric_vehicles_spec_2025_csv[[#This Row],[acceleration_0_100_s]]&lt;4,"0–3.9 s",IF(electric_vehicles_spec_2025_csv[[#This Row],[acceleration_0_100_s]]&lt;6,"4.0–5.9 s",IF(electric_vehicles_spec_2025_csv[[#This Row],[acceleration_0_100_s]]&lt;8,"6.0–7.9 s","8.0+ s")))</f>
        <v>6.0–7.9 s</v>
      </c>
      <c r="P398" s="16">
        <v>100</v>
      </c>
      <c r="Q398" s="16" t="str">
        <f>IF(electric_vehicles_spec_2025_csv[[#This Row],[fast_charging_power_kw_dc]]&lt;50,"0–49 kW",IF(electric_vehicles_spec_2025_csv[[#This Row],[fast_charging_power_kw_dc]]&lt;100,"50–99 kW",IF(electric_vehicles_spec_2025_csv[[#This Row],[fast_charging_power_kw_dc]]&lt;150,"100–149 kW","150+ kW")))</f>
        <v>100–149 kW</v>
      </c>
      <c r="R398" s="16" t="s">
        <v>25</v>
      </c>
      <c r="S398" s="16">
        <v>750</v>
      </c>
      <c r="T398" s="16" t="s">
        <v>1016</v>
      </c>
      <c r="U398" s="16">
        <v>5</v>
      </c>
      <c r="V398" s="16" t="s">
        <v>70</v>
      </c>
      <c r="W398" s="16" t="s">
        <v>43</v>
      </c>
      <c r="X398" s="16">
        <v>4690</v>
      </c>
      <c r="Y398" s="16">
        <v>1860</v>
      </c>
      <c r="Z398" s="16">
        <v>1650</v>
      </c>
      <c r="AA398" s="16" t="s">
        <v>36</v>
      </c>
      <c r="AB398" s="16" t="s">
        <v>1017</v>
      </c>
    </row>
    <row r="399" spans="1:28" x14ac:dyDescent="0.3">
      <c r="A399" s="16" t="s">
        <v>1018</v>
      </c>
      <c r="B399" s="16" t="s">
        <v>1019</v>
      </c>
      <c r="C399" s="16">
        <v>201</v>
      </c>
      <c r="D39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399" s="16">
        <v>75</v>
      </c>
      <c r="F399" s="16" t="str">
        <f>IF(electric_vehicles_spec_2025_csv[[#This Row],[battery_capacity_kWh]]&lt;=30, "0–30 kWh", IF(electric_vehicles_spec_2025_csv[[#This Row],[battery_capacity_kWh]]&lt;=60, "31–60 kWh", "61+ kWh"))</f>
        <v>61+ kWh</v>
      </c>
      <c r="G399" s="16" t="s">
        <v>24</v>
      </c>
      <c r="H399" s="16">
        <v>4416</v>
      </c>
      <c r="I399" s="16">
        <v>493</v>
      </c>
      <c r="J399" s="16">
        <v>119</v>
      </c>
      <c r="K399" s="16" t="str">
        <f t="shared" si="6"/>
        <v>0–130 Wh/km</v>
      </c>
      <c r="L399" s="16">
        <v>525</v>
      </c>
      <c r="M399" s="16" t="str">
        <f>IF(electric_vehicles_spec_2025_csv[[#This Row],[range_km]]&lt;=200, "0–200 km",IF(electric_vehicles_spec_2025_csv[[#This Row],[range_km]]&lt;=400, "201–400 km", "401+ km"))</f>
        <v>401+ km</v>
      </c>
      <c r="N399" s="16">
        <v>4.4000000000000004</v>
      </c>
      <c r="O399" s="16" t="str">
        <f>IF(electric_vehicles_spec_2025_csv[[#This Row],[acceleration_0_100_s]]&lt;4,"0–3.9 s",IF(electric_vehicles_spec_2025_csv[[#This Row],[acceleration_0_100_s]]&lt;6,"4.0–5.9 s",IF(electric_vehicles_spec_2025_csv[[#This Row],[acceleration_0_100_s]]&lt;8,"6.0–7.9 s","8.0+ s")))</f>
        <v>4.0–5.9 s</v>
      </c>
      <c r="P399" s="16">
        <v>124</v>
      </c>
      <c r="Q399" s="16" t="str">
        <f>IF(electric_vehicles_spec_2025_csv[[#This Row],[fast_charging_power_kw_dc]]&lt;50,"0–49 kW",IF(electric_vehicles_spec_2025_csv[[#This Row],[fast_charging_power_kw_dc]]&lt;100,"50–99 kW",IF(electric_vehicles_spec_2025_csv[[#This Row],[fast_charging_power_kw_dc]]&lt;150,"100–149 kW","150+ kW")))</f>
        <v>100–149 kW</v>
      </c>
      <c r="R399" s="16" t="s">
        <v>25</v>
      </c>
      <c r="S399" s="16">
        <v>1000</v>
      </c>
      <c r="T399" s="16" t="s">
        <v>1020</v>
      </c>
      <c r="U399" s="16">
        <v>5</v>
      </c>
      <c r="V399" s="16" t="s">
        <v>70</v>
      </c>
      <c r="W399" s="16" t="s">
        <v>137</v>
      </c>
      <c r="X399" s="16">
        <v>4720</v>
      </c>
      <c r="Y399" s="16">
        <v>1849</v>
      </c>
      <c r="Z399" s="16">
        <v>1441</v>
      </c>
      <c r="AA399" s="16" t="s">
        <v>125</v>
      </c>
      <c r="AB399" s="16" t="s">
        <v>1021</v>
      </c>
    </row>
    <row r="400" spans="1:28" x14ac:dyDescent="0.3">
      <c r="A400" s="16" t="s">
        <v>1018</v>
      </c>
      <c r="B400" s="16" t="s">
        <v>1022</v>
      </c>
      <c r="C400" s="16">
        <v>201</v>
      </c>
      <c r="D40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00" s="16">
        <v>75</v>
      </c>
      <c r="F400" s="16" t="str">
        <f>IF(electric_vehicles_spec_2025_csv[[#This Row],[battery_capacity_kWh]]&lt;=30, "0–30 kWh", IF(electric_vehicles_spec_2025_csv[[#This Row],[battery_capacity_kWh]]&lt;=60, "31–60 kWh", "61+ kWh"))</f>
        <v>61+ kWh</v>
      </c>
      <c r="G400" s="16" t="s">
        <v>24</v>
      </c>
      <c r="H400" s="16">
        <v>4416</v>
      </c>
      <c r="I400" s="16">
        <v>450</v>
      </c>
      <c r="J400" s="16">
        <v>117</v>
      </c>
      <c r="K400" s="16" t="str">
        <f t="shared" si="6"/>
        <v>0–130 Wh/km</v>
      </c>
      <c r="L400" s="16">
        <v>545</v>
      </c>
      <c r="M400" s="16" t="str">
        <f>IF(electric_vehicles_spec_2025_csv[[#This Row],[range_km]]&lt;=200, "0–200 km",IF(electric_vehicles_spec_2025_csv[[#This Row],[range_km]]&lt;=400, "201–400 km", "401+ km"))</f>
        <v>401+ km</v>
      </c>
      <c r="N400" s="16">
        <v>5.2</v>
      </c>
      <c r="O400" s="16" t="str">
        <f>IF(electric_vehicles_spec_2025_csv[[#This Row],[acceleration_0_100_s]]&lt;4,"0–3.9 s",IF(electric_vehicles_spec_2025_csv[[#This Row],[acceleration_0_100_s]]&lt;6,"4.0–5.9 s",IF(electric_vehicles_spec_2025_csv[[#This Row],[acceleration_0_100_s]]&lt;8,"6.0–7.9 s","8.0+ s")))</f>
        <v>4.0–5.9 s</v>
      </c>
      <c r="P400" s="16">
        <v>124</v>
      </c>
      <c r="Q400" s="16" t="str">
        <f>IF(electric_vehicles_spec_2025_csv[[#This Row],[fast_charging_power_kw_dc]]&lt;50,"0–49 kW",IF(electric_vehicles_spec_2025_csv[[#This Row],[fast_charging_power_kw_dc]]&lt;100,"50–99 kW",IF(electric_vehicles_spec_2025_csv[[#This Row],[fast_charging_power_kw_dc]]&lt;150,"100–149 kW","150+ kW")))</f>
        <v>100–149 kW</v>
      </c>
      <c r="R400" s="16" t="s">
        <v>25</v>
      </c>
      <c r="S400" s="16">
        <v>1000</v>
      </c>
      <c r="T400" s="16" t="s">
        <v>1020</v>
      </c>
      <c r="U400" s="16">
        <v>5</v>
      </c>
      <c r="V400" s="16" t="s">
        <v>63</v>
      </c>
      <c r="W400" s="16" t="s">
        <v>137</v>
      </c>
      <c r="X400" s="16">
        <v>4720</v>
      </c>
      <c r="Y400" s="16">
        <v>1849</v>
      </c>
      <c r="Z400" s="16">
        <v>1441</v>
      </c>
      <c r="AA400" s="16" t="s">
        <v>125</v>
      </c>
      <c r="AB400" s="16" t="s">
        <v>1023</v>
      </c>
    </row>
    <row r="401" spans="1:28" x14ac:dyDescent="0.3">
      <c r="A401" s="16" t="s">
        <v>1018</v>
      </c>
      <c r="B401" s="16" t="s">
        <v>1024</v>
      </c>
      <c r="C401" s="16">
        <v>262</v>
      </c>
      <c r="D40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401" s="16">
        <v>75</v>
      </c>
      <c r="F401" s="16" t="str">
        <f>IF(electric_vehicles_spec_2025_csv[[#This Row],[battery_capacity_kWh]]&lt;=30, "0–30 kWh", IF(electric_vehicles_spec_2025_csv[[#This Row],[battery_capacity_kWh]]&lt;=60, "31–60 kWh", "61+ kWh"))</f>
        <v>61+ kWh</v>
      </c>
      <c r="G401" s="16" t="s">
        <v>24</v>
      </c>
      <c r="H401" s="16">
        <v>4416</v>
      </c>
      <c r="I401" s="16">
        <v>741</v>
      </c>
      <c r="J401" s="16">
        <v>142</v>
      </c>
      <c r="K401" s="16" t="str">
        <f t="shared" si="6"/>
        <v>131–160 Wh/km</v>
      </c>
      <c r="L401" s="16">
        <v>490</v>
      </c>
      <c r="M401" s="16" t="str">
        <f>IF(electric_vehicles_spec_2025_csv[[#This Row],[range_km]]&lt;=200, "0–200 km",IF(electric_vehicles_spec_2025_csv[[#This Row],[range_km]]&lt;=400, "201–400 km", "401+ km"))</f>
        <v>401+ km</v>
      </c>
      <c r="N401" s="16">
        <v>3.2</v>
      </c>
      <c r="O401" s="16" t="str">
        <f>IF(electric_vehicles_spec_2025_csv[[#This Row],[acceleration_0_100_s]]&lt;4,"0–3.9 s",IF(electric_vehicles_spec_2025_csv[[#This Row],[acceleration_0_100_s]]&lt;6,"4.0–5.9 s",IF(electric_vehicles_spec_2025_csv[[#This Row],[acceleration_0_100_s]]&lt;8,"6.0–7.9 s","8.0+ s")))</f>
        <v>0–3.9 s</v>
      </c>
      <c r="P401" s="16">
        <v>124</v>
      </c>
      <c r="Q401" s="16" t="str">
        <f>IF(electric_vehicles_spec_2025_csv[[#This Row],[fast_charging_power_kw_dc]]&lt;50,"0–49 kW",IF(electric_vehicles_spec_2025_csv[[#This Row],[fast_charging_power_kw_dc]]&lt;100,"50–99 kW",IF(electric_vehicles_spec_2025_csv[[#This Row],[fast_charging_power_kw_dc]]&lt;150,"100–149 kW","150+ kW")))</f>
        <v>100–149 kW</v>
      </c>
      <c r="R401" s="16" t="s">
        <v>25</v>
      </c>
      <c r="S401" s="16">
        <v>0</v>
      </c>
      <c r="T401" s="16" t="s">
        <v>1020</v>
      </c>
      <c r="U401" s="16">
        <v>5</v>
      </c>
      <c r="V401" s="16" t="s">
        <v>70</v>
      </c>
      <c r="W401" s="16" t="s">
        <v>137</v>
      </c>
      <c r="X401" s="16">
        <v>4720</v>
      </c>
      <c r="Y401" s="16">
        <v>1849</v>
      </c>
      <c r="Z401" s="16">
        <v>1431</v>
      </c>
      <c r="AA401" s="16" t="s">
        <v>125</v>
      </c>
      <c r="AB401" s="16" t="s">
        <v>1025</v>
      </c>
    </row>
    <row r="402" spans="1:28" x14ac:dyDescent="0.3">
      <c r="A402" s="16" t="s">
        <v>1018</v>
      </c>
      <c r="B402" s="16" t="s">
        <v>1026</v>
      </c>
      <c r="C402" s="16">
        <v>201</v>
      </c>
      <c r="D40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02" s="16">
        <v>60.5</v>
      </c>
      <c r="F402" s="16" t="str">
        <f>IF(electric_vehicles_spec_2025_csv[[#This Row],[battery_capacity_kWh]]&lt;=30, "0–30 kWh", IF(electric_vehicles_spec_2025_csv[[#This Row],[battery_capacity_kWh]]&lt;=60, "31–60 kWh", "61+ kWh"))</f>
        <v>61+ kWh</v>
      </c>
      <c r="G402" s="16" t="s">
        <v>24</v>
      </c>
      <c r="H402" s="16"/>
      <c r="I402" s="16">
        <v>420</v>
      </c>
      <c r="J402" s="16">
        <v>116</v>
      </c>
      <c r="K402" s="16" t="str">
        <f t="shared" si="6"/>
        <v>0–130 Wh/km</v>
      </c>
      <c r="L402" s="16">
        <v>445</v>
      </c>
      <c r="M402" s="16" t="str">
        <f>IF(electric_vehicles_spec_2025_csv[[#This Row],[range_km]]&lt;=200, "0–200 km",IF(electric_vehicles_spec_2025_csv[[#This Row],[range_km]]&lt;=400, "201–400 km", "401+ km"))</f>
        <v>401+ km</v>
      </c>
      <c r="N402" s="16">
        <v>6.1</v>
      </c>
      <c r="O402" s="16" t="str">
        <f>IF(electric_vehicles_spec_2025_csv[[#This Row],[acceleration_0_100_s]]&lt;4,"0–3.9 s",IF(electric_vehicles_spec_2025_csv[[#This Row],[acceleration_0_100_s]]&lt;6,"4.0–5.9 s",IF(electric_vehicles_spec_2025_csv[[#This Row],[acceleration_0_100_s]]&lt;8,"6.0–7.9 s","8.0+ s")))</f>
        <v>6.0–7.9 s</v>
      </c>
      <c r="P402" s="16">
        <v>110</v>
      </c>
      <c r="Q402" s="16" t="str">
        <f>IF(electric_vehicles_spec_2025_csv[[#This Row],[fast_charging_power_kw_dc]]&lt;50,"0–49 kW",IF(electric_vehicles_spec_2025_csv[[#This Row],[fast_charging_power_kw_dc]]&lt;100,"50–99 kW",IF(electric_vehicles_spec_2025_csv[[#This Row],[fast_charging_power_kw_dc]]&lt;150,"100–149 kW","150+ kW")))</f>
        <v>100–149 kW</v>
      </c>
      <c r="R402" s="16" t="s">
        <v>25</v>
      </c>
      <c r="S402" s="16">
        <v>1000</v>
      </c>
      <c r="T402" s="16" t="s">
        <v>1020</v>
      </c>
      <c r="U402" s="16">
        <v>5</v>
      </c>
      <c r="V402" s="16" t="s">
        <v>63</v>
      </c>
      <c r="W402" s="16" t="s">
        <v>137</v>
      </c>
      <c r="X402" s="16">
        <v>4720</v>
      </c>
      <c r="Y402" s="16">
        <v>1849</v>
      </c>
      <c r="Z402" s="16">
        <v>1441</v>
      </c>
      <c r="AA402" s="16" t="s">
        <v>125</v>
      </c>
      <c r="AB402" s="16" t="s">
        <v>1027</v>
      </c>
    </row>
    <row r="403" spans="1:28" x14ac:dyDescent="0.3">
      <c r="A403" s="16" t="s">
        <v>1018</v>
      </c>
      <c r="B403" s="16" t="s">
        <v>1028</v>
      </c>
      <c r="C403" s="16">
        <v>250</v>
      </c>
      <c r="D40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403" s="16">
        <v>95</v>
      </c>
      <c r="F403" s="16" t="str">
        <f>IF(electric_vehicles_spec_2025_csv[[#This Row],[battery_capacity_kWh]]&lt;=30, "0–30 kWh", IF(electric_vehicles_spec_2025_csv[[#This Row],[battery_capacity_kWh]]&lt;=60, "31–60 kWh", "61+ kWh"))</f>
        <v>61+ kWh</v>
      </c>
      <c r="G403" s="16" t="s">
        <v>24</v>
      </c>
      <c r="H403" s="16">
        <v>7920</v>
      </c>
      <c r="I403" s="16"/>
      <c r="J403" s="16">
        <v>150</v>
      </c>
      <c r="K403" s="16" t="str">
        <f t="shared" si="6"/>
        <v>131–160 Wh/km</v>
      </c>
      <c r="L403" s="16">
        <v>575</v>
      </c>
      <c r="M403" s="16" t="str">
        <f>IF(electric_vehicles_spec_2025_csv[[#This Row],[range_km]]&lt;=200, "0–200 km",IF(electric_vehicles_spec_2025_csv[[#This Row],[range_km]]&lt;=400, "201–400 km", "401+ km"))</f>
        <v>401+ km</v>
      </c>
      <c r="N403" s="16">
        <v>3.2</v>
      </c>
      <c r="O403" s="16" t="str">
        <f>IF(electric_vehicles_spec_2025_csv[[#This Row],[acceleration_0_100_s]]&lt;4,"0–3.9 s",IF(electric_vehicles_spec_2025_csv[[#This Row],[acceleration_0_100_s]]&lt;6,"4.0–5.9 s",IF(electric_vehicles_spec_2025_csv[[#This Row],[acceleration_0_100_s]]&lt;8,"6.0–7.9 s","8.0+ s")))</f>
        <v>0–3.9 s</v>
      </c>
      <c r="P403" s="16">
        <v>140</v>
      </c>
      <c r="Q403" s="16" t="str">
        <f>IF(electric_vehicles_spec_2025_csv[[#This Row],[fast_charging_power_kw_dc]]&lt;50,"0–49 kW",IF(electric_vehicles_spec_2025_csv[[#This Row],[fast_charging_power_kw_dc]]&lt;100,"50–99 kW",IF(electric_vehicles_spec_2025_csv[[#This Row],[fast_charging_power_kw_dc]]&lt;150,"100–149 kW","150+ kW")))</f>
        <v>100–149 kW</v>
      </c>
      <c r="R403" s="16" t="s">
        <v>25</v>
      </c>
      <c r="S403" s="16">
        <v>1600</v>
      </c>
      <c r="T403" s="16" t="s">
        <v>1029</v>
      </c>
      <c r="U403" s="16">
        <v>5</v>
      </c>
      <c r="V403" s="16" t="s">
        <v>70</v>
      </c>
      <c r="W403" s="16" t="s">
        <v>124</v>
      </c>
      <c r="X403" s="16">
        <v>5021</v>
      </c>
      <c r="Y403" s="16">
        <v>1987</v>
      </c>
      <c r="Z403" s="16">
        <v>1431</v>
      </c>
      <c r="AA403" s="16" t="s">
        <v>73</v>
      </c>
      <c r="AB403" s="16" t="s">
        <v>1030</v>
      </c>
    </row>
    <row r="404" spans="1:28" x14ac:dyDescent="0.3">
      <c r="A404" s="16" t="s">
        <v>1018</v>
      </c>
      <c r="B404" s="16" t="s">
        <v>1031</v>
      </c>
      <c r="C404" s="16">
        <v>282</v>
      </c>
      <c r="D40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275–299 km/h</v>
      </c>
      <c r="E404" s="16">
        <v>95</v>
      </c>
      <c r="F404" s="16" t="str">
        <f>IF(electric_vehicles_spec_2025_csv[[#This Row],[battery_capacity_kWh]]&lt;=30, "0–30 kWh", IF(electric_vehicles_spec_2025_csv[[#This Row],[battery_capacity_kWh]]&lt;=60, "31–60 kWh", "61+ kWh"))</f>
        <v>61+ kWh</v>
      </c>
      <c r="G404" s="16" t="s">
        <v>24</v>
      </c>
      <c r="H404" s="16">
        <v>7920</v>
      </c>
      <c r="I404" s="16"/>
      <c r="J404" s="16">
        <v>158</v>
      </c>
      <c r="K404" s="16" t="str">
        <f t="shared" si="6"/>
        <v>131–160 Wh/km</v>
      </c>
      <c r="L404" s="16">
        <v>560</v>
      </c>
      <c r="M404" s="16" t="str">
        <f>IF(electric_vehicles_spec_2025_csv[[#This Row],[range_km]]&lt;=200, "0–200 km",IF(electric_vehicles_spec_2025_csv[[#This Row],[range_km]]&lt;=400, "201–400 km", "401+ km"))</f>
        <v>401+ km</v>
      </c>
      <c r="N404" s="16">
        <v>2.2999999999999998</v>
      </c>
      <c r="O404" s="16" t="str">
        <f>IF(electric_vehicles_spec_2025_csv[[#This Row],[acceleration_0_100_s]]&lt;4,"0–3.9 s",IF(electric_vehicles_spec_2025_csv[[#This Row],[acceleration_0_100_s]]&lt;6,"4.0–5.9 s",IF(electric_vehicles_spec_2025_csv[[#This Row],[acceleration_0_100_s]]&lt;8,"6.0–7.9 s","8.0+ s")))</f>
        <v>0–3.9 s</v>
      </c>
      <c r="P404" s="16">
        <v>140</v>
      </c>
      <c r="Q404" s="16" t="str">
        <f>IF(electric_vehicles_spec_2025_csv[[#This Row],[fast_charging_power_kw_dc]]&lt;50,"0–49 kW",IF(electric_vehicles_spec_2025_csv[[#This Row],[fast_charging_power_kw_dc]]&lt;100,"50–99 kW",IF(electric_vehicles_spec_2025_csv[[#This Row],[fast_charging_power_kw_dc]]&lt;150,"100–149 kW","150+ kW")))</f>
        <v>100–149 kW</v>
      </c>
      <c r="R404" s="16" t="s">
        <v>25</v>
      </c>
      <c r="S404" s="16">
        <v>1600</v>
      </c>
      <c r="T404" s="16" t="s">
        <v>1029</v>
      </c>
      <c r="U404" s="16">
        <v>5</v>
      </c>
      <c r="V404" s="16" t="s">
        <v>70</v>
      </c>
      <c r="W404" s="16" t="s">
        <v>124</v>
      </c>
      <c r="X404" s="16">
        <v>5021</v>
      </c>
      <c r="Y404" s="16">
        <v>1987</v>
      </c>
      <c r="Z404" s="16">
        <v>1431</v>
      </c>
      <c r="AA404" s="16" t="s">
        <v>73</v>
      </c>
      <c r="AB404" s="16" t="s">
        <v>1032</v>
      </c>
    </row>
    <row r="405" spans="1:28" x14ac:dyDescent="0.3">
      <c r="A405" s="16" t="s">
        <v>1018</v>
      </c>
      <c r="B405" s="16" t="s">
        <v>1033</v>
      </c>
      <c r="C405" s="16">
        <v>250</v>
      </c>
      <c r="D40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405" s="16">
        <v>95</v>
      </c>
      <c r="F405" s="16" t="str">
        <f>IF(electric_vehicles_spec_2025_csv[[#This Row],[battery_capacity_kWh]]&lt;=30, "0–30 kWh", IF(electric_vehicles_spec_2025_csv[[#This Row],[battery_capacity_kWh]]&lt;=60, "31–60 kWh", "61+ kWh"))</f>
        <v>61+ kWh</v>
      </c>
      <c r="G405" s="16" t="s">
        <v>24</v>
      </c>
      <c r="H405" s="16">
        <v>7920</v>
      </c>
      <c r="I405" s="16"/>
      <c r="J405" s="16">
        <v>165</v>
      </c>
      <c r="K405" s="16" t="str">
        <f t="shared" si="6"/>
        <v>161+ Wh/km</v>
      </c>
      <c r="L405" s="16">
        <v>485</v>
      </c>
      <c r="M405" s="16" t="str">
        <f>IF(electric_vehicles_spec_2025_csv[[#This Row],[range_km]]&lt;=200, "0–200 km",IF(electric_vehicles_spec_2025_csv[[#This Row],[range_km]]&lt;=400, "201–400 km", "401+ km"))</f>
        <v>401+ km</v>
      </c>
      <c r="N405" s="16">
        <v>3.9</v>
      </c>
      <c r="O405" s="16" t="str">
        <f>IF(electric_vehicles_spec_2025_csv[[#This Row],[acceleration_0_100_s]]&lt;4,"0–3.9 s",IF(electric_vehicles_spec_2025_csv[[#This Row],[acceleration_0_100_s]]&lt;6,"4.0–5.9 s",IF(electric_vehicles_spec_2025_csv[[#This Row],[acceleration_0_100_s]]&lt;8,"6.0–7.9 s","8.0+ s")))</f>
        <v>0–3.9 s</v>
      </c>
      <c r="P405" s="16">
        <v>140</v>
      </c>
      <c r="Q405" s="16" t="str">
        <f>IF(electric_vehicles_spec_2025_csv[[#This Row],[fast_charging_power_kw_dc]]&lt;50,"0–49 kW",IF(electric_vehicles_spec_2025_csv[[#This Row],[fast_charging_power_kw_dc]]&lt;100,"50–99 kW",IF(electric_vehicles_spec_2025_csv[[#This Row],[fast_charging_power_kw_dc]]&lt;150,"100–149 kW","150+ kW")))</f>
        <v>100–149 kW</v>
      </c>
      <c r="R405" s="16" t="s">
        <v>25</v>
      </c>
      <c r="S405" s="16">
        <v>2250</v>
      </c>
      <c r="T405" s="16" t="s">
        <v>1034</v>
      </c>
      <c r="U405" s="16">
        <v>7</v>
      </c>
      <c r="V405" s="16" t="s">
        <v>70</v>
      </c>
      <c r="W405" s="16" t="s">
        <v>239</v>
      </c>
      <c r="X405" s="16">
        <v>5057</v>
      </c>
      <c r="Y405" s="16">
        <v>1999</v>
      </c>
      <c r="Z405" s="16">
        <v>1680</v>
      </c>
      <c r="AA405" s="16" t="s">
        <v>36</v>
      </c>
      <c r="AB405" s="16" t="s">
        <v>1035</v>
      </c>
    </row>
    <row r="406" spans="1:28" x14ac:dyDescent="0.3">
      <c r="A406" s="16" t="s">
        <v>1018</v>
      </c>
      <c r="B406" s="16" t="s">
        <v>1036</v>
      </c>
      <c r="C406" s="16">
        <v>262</v>
      </c>
      <c r="D40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250–274 km/h</v>
      </c>
      <c r="E406" s="16">
        <v>95</v>
      </c>
      <c r="F406" s="16" t="str">
        <f>IF(electric_vehicles_spec_2025_csv[[#This Row],[battery_capacity_kWh]]&lt;=30, "0–30 kWh", IF(electric_vehicles_spec_2025_csv[[#This Row],[battery_capacity_kWh]]&lt;=60, "31–60 kWh", "61+ kWh"))</f>
        <v>61+ kWh</v>
      </c>
      <c r="G406" s="16" t="s">
        <v>24</v>
      </c>
      <c r="H406" s="16">
        <v>7920</v>
      </c>
      <c r="I406" s="16"/>
      <c r="J406" s="16">
        <v>180</v>
      </c>
      <c r="K406" s="16" t="str">
        <f t="shared" si="6"/>
        <v>161+ Wh/km</v>
      </c>
      <c r="L406" s="16">
        <v>465</v>
      </c>
      <c r="M406" s="16" t="str">
        <f>IF(electric_vehicles_spec_2025_csv[[#This Row],[range_km]]&lt;=200, "0–200 km",IF(electric_vehicles_spec_2025_csv[[#This Row],[range_km]]&lt;=400, "201–400 km", "401+ km"))</f>
        <v>401+ km</v>
      </c>
      <c r="N406" s="16">
        <v>2.7</v>
      </c>
      <c r="O406" s="16" t="str">
        <f>IF(electric_vehicles_spec_2025_csv[[#This Row],[acceleration_0_100_s]]&lt;4,"0–3.9 s",IF(electric_vehicles_spec_2025_csv[[#This Row],[acceleration_0_100_s]]&lt;6,"4.0–5.9 s",IF(electric_vehicles_spec_2025_csv[[#This Row],[acceleration_0_100_s]]&lt;8,"6.0–7.9 s","8.0+ s")))</f>
        <v>0–3.9 s</v>
      </c>
      <c r="P406" s="16">
        <v>140</v>
      </c>
      <c r="Q406" s="16" t="str">
        <f>IF(electric_vehicles_spec_2025_csv[[#This Row],[fast_charging_power_kw_dc]]&lt;50,"0–49 kW",IF(electric_vehicles_spec_2025_csv[[#This Row],[fast_charging_power_kw_dc]]&lt;100,"50–99 kW",IF(electric_vehicles_spec_2025_csv[[#This Row],[fast_charging_power_kw_dc]]&lt;150,"100–149 kW","150+ kW")))</f>
        <v>100–149 kW</v>
      </c>
      <c r="R406" s="16" t="s">
        <v>25</v>
      </c>
      <c r="S406" s="16">
        <v>2250</v>
      </c>
      <c r="T406" s="16" t="s">
        <v>1034</v>
      </c>
      <c r="U406" s="16">
        <v>7</v>
      </c>
      <c r="V406" s="16" t="s">
        <v>70</v>
      </c>
      <c r="W406" s="16" t="s">
        <v>239</v>
      </c>
      <c r="X406" s="16">
        <v>5057</v>
      </c>
      <c r="Y406" s="16">
        <v>1999</v>
      </c>
      <c r="Z406" s="16">
        <v>1680</v>
      </c>
      <c r="AA406" s="16" t="s">
        <v>36</v>
      </c>
      <c r="AB406" s="16" t="s">
        <v>1037</v>
      </c>
    </row>
    <row r="407" spans="1:28" x14ac:dyDescent="0.3">
      <c r="A407" s="16" t="s">
        <v>1018</v>
      </c>
      <c r="B407" s="16" t="s">
        <v>1038</v>
      </c>
      <c r="C407" s="16">
        <v>201</v>
      </c>
      <c r="D40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07" s="16">
        <v>75</v>
      </c>
      <c r="F407" s="16" t="str">
        <f>IF(electric_vehicles_spec_2025_csv[[#This Row],[battery_capacity_kWh]]&lt;=30, "0–30 kWh", IF(electric_vehicles_spec_2025_csv[[#This Row],[battery_capacity_kWh]]&lt;=60, "31–60 kWh", "61+ kWh"))</f>
        <v>61+ kWh</v>
      </c>
      <c r="G407" s="16" t="s">
        <v>24</v>
      </c>
      <c r="H407" s="16">
        <v>4416</v>
      </c>
      <c r="I407" s="16">
        <v>493</v>
      </c>
      <c r="J407" s="16">
        <v>132</v>
      </c>
      <c r="K407" s="16" t="str">
        <f t="shared" si="6"/>
        <v>131–160 Wh/km</v>
      </c>
      <c r="L407" s="16">
        <v>455</v>
      </c>
      <c r="M407" s="16" t="str">
        <f>IF(electric_vehicles_spec_2025_csv[[#This Row],[range_km]]&lt;=200, "0–200 km",IF(electric_vehicles_spec_2025_csv[[#This Row],[range_km]]&lt;=400, "201–400 km", "401+ km"))</f>
        <v>401+ km</v>
      </c>
      <c r="N407" s="16">
        <v>4.8</v>
      </c>
      <c r="O407" s="16" t="str">
        <f>IF(electric_vehicles_spec_2025_csv[[#This Row],[acceleration_0_100_s]]&lt;4,"0–3.9 s",IF(electric_vehicles_spec_2025_csv[[#This Row],[acceleration_0_100_s]]&lt;6,"4.0–5.9 s",IF(electric_vehicles_spec_2025_csv[[#This Row],[acceleration_0_100_s]]&lt;8,"6.0–7.9 s","8.0+ s")))</f>
        <v>4.0–5.9 s</v>
      </c>
      <c r="P407" s="16">
        <v>124</v>
      </c>
      <c r="Q407" s="16" t="str">
        <f>IF(electric_vehicles_spec_2025_csv[[#This Row],[fast_charging_power_kw_dc]]&lt;50,"0–49 kW",IF(electric_vehicles_spec_2025_csv[[#This Row],[fast_charging_power_kw_dc]]&lt;100,"50–99 kW",IF(electric_vehicles_spec_2025_csv[[#This Row],[fast_charging_power_kw_dc]]&lt;150,"100–149 kW","150+ kW")))</f>
        <v>100–149 kW</v>
      </c>
      <c r="R407" s="16" t="s">
        <v>25</v>
      </c>
      <c r="S407" s="16">
        <v>1600</v>
      </c>
      <c r="T407" s="16" t="s">
        <v>1039</v>
      </c>
      <c r="U407" s="16">
        <v>5</v>
      </c>
      <c r="V407" s="16" t="s">
        <v>70</v>
      </c>
      <c r="W407" s="16" t="s">
        <v>99</v>
      </c>
      <c r="X407" s="16">
        <v>4790</v>
      </c>
      <c r="Y407" s="16">
        <v>1982</v>
      </c>
      <c r="Z407" s="16">
        <v>1624</v>
      </c>
      <c r="AA407" s="16" t="s">
        <v>36</v>
      </c>
      <c r="AB407" s="16" t="s">
        <v>1040</v>
      </c>
    </row>
    <row r="408" spans="1:28" x14ac:dyDescent="0.3">
      <c r="A408" s="16" t="s">
        <v>1018</v>
      </c>
      <c r="B408" s="16" t="s">
        <v>1041</v>
      </c>
      <c r="C408" s="16">
        <v>201</v>
      </c>
      <c r="D40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08" s="16">
        <v>75</v>
      </c>
      <c r="F408" s="16" t="str">
        <f>IF(electric_vehicles_spec_2025_csv[[#This Row],[battery_capacity_kWh]]&lt;=30, "0–30 kWh", IF(electric_vehicles_spec_2025_csv[[#This Row],[battery_capacity_kWh]]&lt;=60, "31–60 kWh", "61+ kWh"))</f>
        <v>61+ kWh</v>
      </c>
      <c r="G408" s="16" t="s">
        <v>24</v>
      </c>
      <c r="H408" s="16">
        <v>4416</v>
      </c>
      <c r="I408" s="16">
        <v>450</v>
      </c>
      <c r="J408" s="16">
        <v>121</v>
      </c>
      <c r="K408" s="16" t="str">
        <f t="shared" si="6"/>
        <v>0–130 Wh/km</v>
      </c>
      <c r="L408" s="16">
        <v>470</v>
      </c>
      <c r="M408" s="16" t="str">
        <f>IF(electric_vehicles_spec_2025_csv[[#This Row],[range_km]]&lt;=200, "0–200 km",IF(electric_vehicles_spec_2025_csv[[#This Row],[range_km]]&lt;=400, "201–400 km", "401+ km"))</f>
        <v>401+ km</v>
      </c>
      <c r="N408" s="16">
        <v>5.6</v>
      </c>
      <c r="O408" s="16" t="str">
        <f>IF(electric_vehicles_spec_2025_csv[[#This Row],[acceleration_0_100_s]]&lt;4,"0–3.9 s",IF(electric_vehicles_spec_2025_csv[[#This Row],[acceleration_0_100_s]]&lt;6,"4.0–5.9 s",IF(electric_vehicles_spec_2025_csv[[#This Row],[acceleration_0_100_s]]&lt;8,"6.0–7.9 s","8.0+ s")))</f>
        <v>4.0–5.9 s</v>
      </c>
      <c r="P408" s="16">
        <v>124</v>
      </c>
      <c r="Q408" s="16" t="str">
        <f>IF(electric_vehicles_spec_2025_csv[[#This Row],[fast_charging_power_kw_dc]]&lt;50,"0–49 kW",IF(electric_vehicles_spec_2025_csv[[#This Row],[fast_charging_power_kw_dc]]&lt;100,"50–99 kW",IF(electric_vehicles_spec_2025_csv[[#This Row],[fast_charging_power_kw_dc]]&lt;150,"100–149 kW","150+ kW")))</f>
        <v>100–149 kW</v>
      </c>
      <c r="R408" s="16" t="s">
        <v>25</v>
      </c>
      <c r="S408" s="16">
        <v>1600</v>
      </c>
      <c r="T408" s="16" t="s">
        <v>1039</v>
      </c>
      <c r="U408" s="16">
        <v>5</v>
      </c>
      <c r="V408" s="16" t="s">
        <v>63</v>
      </c>
      <c r="W408" s="16" t="s">
        <v>99</v>
      </c>
      <c r="X408" s="16">
        <v>4790</v>
      </c>
      <c r="Y408" s="16">
        <v>1982</v>
      </c>
      <c r="Z408" s="16">
        <v>1624</v>
      </c>
      <c r="AA408" s="16" t="s">
        <v>36</v>
      </c>
      <c r="AB408" s="16" t="s">
        <v>1042</v>
      </c>
    </row>
    <row r="409" spans="1:28" x14ac:dyDescent="0.3">
      <c r="A409" s="16" t="s">
        <v>1018</v>
      </c>
      <c r="B409" s="16" t="s">
        <v>1043</v>
      </c>
      <c r="C409" s="16">
        <v>201</v>
      </c>
      <c r="D40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09" s="16">
        <v>60.5</v>
      </c>
      <c r="F409" s="16" t="str">
        <f>IF(electric_vehicles_spec_2025_csv[[#This Row],[battery_capacity_kWh]]&lt;=30, "0–30 kWh", IF(electric_vehicles_spec_2025_csv[[#This Row],[battery_capacity_kWh]]&lt;=60, "31–60 kWh", "61+ kWh"))</f>
        <v>61+ kWh</v>
      </c>
      <c r="G409" s="16" t="s">
        <v>24</v>
      </c>
      <c r="H409" s="16"/>
      <c r="I409" s="16">
        <v>420</v>
      </c>
      <c r="J409" s="16">
        <v>121</v>
      </c>
      <c r="K409" s="16" t="str">
        <f t="shared" si="6"/>
        <v>0–130 Wh/km</v>
      </c>
      <c r="L409" s="16">
        <v>375</v>
      </c>
      <c r="M409" s="16" t="str">
        <f>IF(electric_vehicles_spec_2025_csv[[#This Row],[range_km]]&lt;=200, "0–200 km",IF(electric_vehicles_spec_2025_csv[[#This Row],[range_km]]&lt;=400, "201–400 km", "401+ km"))</f>
        <v>201–400 km</v>
      </c>
      <c r="N409" s="16">
        <v>5.9</v>
      </c>
      <c r="O409" s="16" t="str">
        <f>IF(electric_vehicles_spec_2025_csv[[#This Row],[acceleration_0_100_s]]&lt;4,"0–3.9 s",IF(electric_vehicles_spec_2025_csv[[#This Row],[acceleration_0_100_s]]&lt;6,"4.0–5.9 s",IF(electric_vehicles_spec_2025_csv[[#This Row],[acceleration_0_100_s]]&lt;8,"6.0–7.9 s","8.0+ s")))</f>
        <v>4.0–5.9 s</v>
      </c>
      <c r="P409" s="16">
        <v>110</v>
      </c>
      <c r="Q409" s="16" t="str">
        <f>IF(electric_vehicles_spec_2025_csv[[#This Row],[fast_charging_power_kw_dc]]&lt;50,"0–49 kW",IF(electric_vehicles_spec_2025_csv[[#This Row],[fast_charging_power_kw_dc]]&lt;100,"50–99 kW",IF(electric_vehicles_spec_2025_csv[[#This Row],[fast_charging_power_kw_dc]]&lt;150,"100–149 kW","150+ kW")))</f>
        <v>100–149 kW</v>
      </c>
      <c r="R409" s="16" t="s">
        <v>25</v>
      </c>
      <c r="S409" s="16">
        <v>1600</v>
      </c>
      <c r="T409" s="16" t="s">
        <v>1039</v>
      </c>
      <c r="U409" s="16">
        <v>5</v>
      </c>
      <c r="V409" s="16" t="s">
        <v>63</v>
      </c>
      <c r="W409" s="16" t="s">
        <v>99</v>
      </c>
      <c r="X409" s="16">
        <v>4790</v>
      </c>
      <c r="Y409" s="16">
        <v>1982</v>
      </c>
      <c r="Z409" s="16">
        <v>1624</v>
      </c>
      <c r="AA409" s="16" t="s">
        <v>36</v>
      </c>
      <c r="AB409" s="16" t="s">
        <v>1044</v>
      </c>
    </row>
    <row r="410" spans="1:28" x14ac:dyDescent="0.3">
      <c r="A410" s="16" t="s">
        <v>1045</v>
      </c>
      <c r="B410" s="16" t="s">
        <v>1046</v>
      </c>
      <c r="C410" s="16">
        <v>130</v>
      </c>
      <c r="D41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410" s="16">
        <v>68</v>
      </c>
      <c r="F410" s="16" t="str">
        <f>IF(electric_vehicles_spec_2025_csv[[#This Row],[battery_capacity_kWh]]&lt;=30, "0–30 kWh", IF(electric_vehicles_spec_2025_csv[[#This Row],[battery_capacity_kWh]]&lt;=60, "31–60 kWh", "61+ kWh"))</f>
        <v>61+ kWh</v>
      </c>
      <c r="G410" s="16" t="s">
        <v>24</v>
      </c>
      <c r="H410" s="16">
        <v>324</v>
      </c>
      <c r="I410" s="16">
        <v>260</v>
      </c>
      <c r="J410" s="16">
        <v>204</v>
      </c>
      <c r="K410" s="16" t="str">
        <f t="shared" si="6"/>
        <v>161+ Wh/km</v>
      </c>
      <c r="L410" s="16">
        <v>260</v>
      </c>
      <c r="M410" s="16" t="str">
        <f>IF(electric_vehicles_spec_2025_csv[[#This Row],[range_km]]&lt;=200, "0–200 km",IF(electric_vehicles_spec_2025_csv[[#This Row],[range_km]]&lt;=400, "201–400 km", "401+ km"))</f>
        <v>201–400 km</v>
      </c>
      <c r="N410" s="16">
        <v>13.3</v>
      </c>
      <c r="O410" s="16" t="str">
        <f>IF(electric_vehicles_spec_2025_csv[[#This Row],[acceleration_0_100_s]]&lt;4,"0–3.9 s",IF(electric_vehicles_spec_2025_csv[[#This Row],[acceleration_0_100_s]]&lt;6,"4.0–5.9 s",IF(electric_vehicles_spec_2025_csv[[#This Row],[acceleration_0_100_s]]&lt;8,"6.0–7.9 s","8.0+ s")))</f>
        <v>8.0+ s</v>
      </c>
      <c r="P410" s="16">
        <v>79</v>
      </c>
      <c r="Q410" s="16" t="str">
        <f>IF(electric_vehicles_spec_2025_csv[[#This Row],[fast_charging_power_kw_dc]]&lt;50,"0–49 kW",IF(electric_vehicles_spec_2025_csv[[#This Row],[fast_charging_power_kw_dc]]&lt;100,"50–99 kW",IF(electric_vehicles_spec_2025_csv[[#This Row],[fast_charging_power_kw_dc]]&lt;150,"100–149 kW","150+ kW")))</f>
        <v>50–99 kW</v>
      </c>
      <c r="R410" s="16" t="s">
        <v>25</v>
      </c>
      <c r="S410" s="16">
        <v>1000</v>
      </c>
      <c r="T410" s="16" t="s">
        <v>272</v>
      </c>
      <c r="U410" s="16">
        <v>9</v>
      </c>
      <c r="V410" s="16" t="s">
        <v>27</v>
      </c>
      <c r="W410" s="16" t="s">
        <v>244</v>
      </c>
      <c r="X410" s="16">
        <v>5333</v>
      </c>
      <c r="Y410" s="16">
        <v>1920</v>
      </c>
      <c r="Z410" s="16">
        <v>1890</v>
      </c>
      <c r="AA410" s="16" t="s">
        <v>245</v>
      </c>
      <c r="AB410" s="16" t="s">
        <v>1047</v>
      </c>
    </row>
    <row r="411" spans="1:28" x14ac:dyDescent="0.3">
      <c r="A411" s="16" t="s">
        <v>1045</v>
      </c>
      <c r="B411" s="16" t="s">
        <v>1048</v>
      </c>
      <c r="C411" s="16">
        <v>130</v>
      </c>
      <c r="D41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411" s="16">
        <v>46.3</v>
      </c>
      <c r="F411" s="16" t="str">
        <f>IF(electric_vehicles_spec_2025_csv[[#This Row],[battery_capacity_kWh]]&lt;=30, "0–30 kWh", IF(electric_vehicles_spec_2025_csv[[#This Row],[battery_capacity_kWh]]&lt;=60, "31–60 kWh", "61+ kWh"))</f>
        <v>31–60 kWh</v>
      </c>
      <c r="G411" s="16" t="s">
        <v>24</v>
      </c>
      <c r="H411" s="16">
        <v>216</v>
      </c>
      <c r="I411" s="16">
        <v>260</v>
      </c>
      <c r="J411" s="16">
        <v>217</v>
      </c>
      <c r="K411" s="16" t="str">
        <f t="shared" si="6"/>
        <v>161+ Wh/km</v>
      </c>
      <c r="L411" s="16">
        <v>180</v>
      </c>
      <c r="M411" s="16" t="str">
        <f>IF(electric_vehicles_spec_2025_csv[[#This Row],[range_km]]&lt;=200, "0–200 km",IF(electric_vehicles_spec_2025_csv[[#This Row],[range_km]]&lt;=400, "201–400 km", "401+ km"))</f>
        <v>0–200 km</v>
      </c>
      <c r="N411" s="16">
        <v>12.1</v>
      </c>
      <c r="O411" s="16" t="str">
        <f>IF(electric_vehicles_spec_2025_csv[[#This Row],[acceleration_0_100_s]]&lt;4,"0–3.9 s",IF(electric_vehicles_spec_2025_csv[[#This Row],[acceleration_0_100_s]]&lt;6,"4.0–5.9 s",IF(electric_vehicles_spec_2025_csv[[#This Row],[acceleration_0_100_s]]&lt;8,"6.0–7.9 s","8.0+ s")))</f>
        <v>8.0+ s</v>
      </c>
      <c r="P411" s="16">
        <v>78</v>
      </c>
      <c r="Q411" s="16" t="str">
        <f>IF(electric_vehicles_spec_2025_csv[[#This Row],[fast_charging_power_kw_dc]]&lt;50,"0–49 kW",IF(electric_vehicles_spec_2025_csv[[#This Row],[fast_charging_power_kw_dc]]&lt;100,"50–99 kW",IF(electric_vehicles_spec_2025_csv[[#This Row],[fast_charging_power_kw_dc]]&lt;150,"100–149 kW","150+ kW")))</f>
        <v>50–99 kW</v>
      </c>
      <c r="R411" s="16" t="s">
        <v>25</v>
      </c>
      <c r="S411" s="16">
        <v>1000</v>
      </c>
      <c r="T411" s="16" t="s">
        <v>267</v>
      </c>
      <c r="U411" s="16">
        <v>9</v>
      </c>
      <c r="V411" s="16" t="s">
        <v>27</v>
      </c>
      <c r="W411" s="16" t="s">
        <v>244</v>
      </c>
      <c r="X411" s="16">
        <v>4983</v>
      </c>
      <c r="Y411" s="16">
        <v>1920</v>
      </c>
      <c r="Z411" s="16">
        <v>1890</v>
      </c>
      <c r="AA411" s="16" t="s">
        <v>245</v>
      </c>
      <c r="AB411" s="16" t="s">
        <v>1049</v>
      </c>
    </row>
    <row r="412" spans="1:28" x14ac:dyDescent="0.3">
      <c r="A412" s="16" t="s">
        <v>1045</v>
      </c>
      <c r="B412" s="16" t="s">
        <v>1050</v>
      </c>
      <c r="C412" s="16">
        <v>130</v>
      </c>
      <c r="D41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412" s="16">
        <v>68</v>
      </c>
      <c r="F412" s="16" t="str">
        <f>IF(electric_vehicles_spec_2025_csv[[#This Row],[battery_capacity_kWh]]&lt;=30, "0–30 kWh", IF(electric_vehicles_spec_2025_csv[[#This Row],[battery_capacity_kWh]]&lt;=60, "31–60 kWh", "61+ kWh"))</f>
        <v>61+ kWh</v>
      </c>
      <c r="G412" s="16" t="s">
        <v>24</v>
      </c>
      <c r="H412" s="16">
        <v>324</v>
      </c>
      <c r="I412" s="16">
        <v>260</v>
      </c>
      <c r="J412" s="16">
        <v>202</v>
      </c>
      <c r="K412" s="16" t="str">
        <f t="shared" si="6"/>
        <v>161+ Wh/km</v>
      </c>
      <c r="L412" s="16">
        <v>260</v>
      </c>
      <c r="M412" s="16" t="str">
        <f>IF(electric_vehicles_spec_2025_csv[[#This Row],[range_km]]&lt;=200, "0–200 km",IF(electric_vehicles_spec_2025_csv[[#This Row],[range_km]]&lt;=400, "201–400 km", "401+ km"))</f>
        <v>201–400 km</v>
      </c>
      <c r="N412" s="16">
        <v>13.3</v>
      </c>
      <c r="O412" s="16" t="str">
        <f>IF(electric_vehicles_spec_2025_csv[[#This Row],[acceleration_0_100_s]]&lt;4,"0–3.9 s",IF(electric_vehicles_spec_2025_csv[[#This Row],[acceleration_0_100_s]]&lt;6,"4.0–5.9 s",IF(electric_vehicles_spec_2025_csv[[#This Row],[acceleration_0_100_s]]&lt;8,"6.0–7.9 s","8.0+ s")))</f>
        <v>8.0+ s</v>
      </c>
      <c r="P412" s="16">
        <v>79</v>
      </c>
      <c r="Q412" s="16" t="str">
        <f>IF(electric_vehicles_spec_2025_csv[[#This Row],[fast_charging_power_kw_dc]]&lt;50,"0–49 kW",IF(electric_vehicles_spec_2025_csv[[#This Row],[fast_charging_power_kw_dc]]&lt;100,"50–99 kW",IF(electric_vehicles_spec_2025_csv[[#This Row],[fast_charging_power_kw_dc]]&lt;150,"100–149 kW","150+ kW")))</f>
        <v>50–99 kW</v>
      </c>
      <c r="R412" s="16" t="s">
        <v>25</v>
      </c>
      <c r="S412" s="16">
        <v>1000</v>
      </c>
      <c r="T412" s="16" t="s">
        <v>267</v>
      </c>
      <c r="U412" s="16">
        <v>9</v>
      </c>
      <c r="V412" s="16" t="s">
        <v>27</v>
      </c>
      <c r="W412" s="16" t="s">
        <v>244</v>
      </c>
      <c r="X412" s="16">
        <v>4983</v>
      </c>
      <c r="Y412" s="16">
        <v>1920</v>
      </c>
      <c r="Z412" s="16">
        <v>1890</v>
      </c>
      <c r="AA412" s="16" t="s">
        <v>245</v>
      </c>
      <c r="AB412" s="16" t="s">
        <v>1051</v>
      </c>
    </row>
    <row r="413" spans="1:28" x14ac:dyDescent="0.3">
      <c r="A413" s="16" t="s">
        <v>1045</v>
      </c>
      <c r="B413" s="16" t="s">
        <v>1052</v>
      </c>
      <c r="C413" s="16">
        <v>132</v>
      </c>
      <c r="D41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413" s="16">
        <v>50</v>
      </c>
      <c r="F413" s="16" t="str">
        <f>IF(electric_vehicles_spec_2025_csv[[#This Row],[battery_capacity_kWh]]&lt;=30, "0–30 kWh", IF(electric_vehicles_spec_2025_csv[[#This Row],[battery_capacity_kWh]]&lt;=60, "31–60 kWh", "61+ kWh"))</f>
        <v>31–60 kWh</v>
      </c>
      <c r="G413" s="16" t="s">
        <v>24</v>
      </c>
      <c r="H413" s="16"/>
      <c r="I413" s="16">
        <v>260</v>
      </c>
      <c r="J413" s="16">
        <v>149</v>
      </c>
      <c r="K413" s="16" t="str">
        <f t="shared" si="6"/>
        <v>131–160 Wh/km</v>
      </c>
      <c r="L413" s="16">
        <v>235</v>
      </c>
      <c r="M413" s="16" t="str">
        <f>IF(electric_vehicles_spec_2025_csv[[#This Row],[range_km]]&lt;=200, "0–200 km",IF(electric_vehicles_spec_2025_csv[[#This Row],[range_km]]&lt;=400, "201–400 km", "401+ km"))</f>
        <v>201–400 km</v>
      </c>
      <c r="N413" s="16">
        <v>11.7</v>
      </c>
      <c r="O413" s="16" t="str">
        <f>IF(electric_vehicles_spec_2025_csv[[#This Row],[acceleration_0_100_s]]&lt;4,"0–3.9 s",IF(electric_vehicles_spec_2025_csv[[#This Row],[acceleration_0_100_s]]&lt;6,"4.0–5.9 s",IF(electric_vehicles_spec_2025_csv[[#This Row],[acceleration_0_100_s]]&lt;8,"6.0–7.9 s","8.0+ s")))</f>
        <v>8.0+ s</v>
      </c>
      <c r="P413" s="16">
        <v>80</v>
      </c>
      <c r="Q413" s="16" t="str">
        <f>IF(electric_vehicles_spec_2025_csv[[#This Row],[fast_charging_power_kw_dc]]&lt;50,"0–49 kW",IF(electric_vehicles_spec_2025_csv[[#This Row],[fast_charging_power_kw_dc]]&lt;100,"50–99 kW",IF(electric_vehicles_spec_2025_csv[[#This Row],[fast_charging_power_kw_dc]]&lt;150,"100–149 kW","150+ kW")))</f>
        <v>50–99 kW</v>
      </c>
      <c r="R413" s="16" t="s">
        <v>25</v>
      </c>
      <c r="S413" s="16">
        <v>750</v>
      </c>
      <c r="T413" s="16" t="s">
        <v>243</v>
      </c>
      <c r="U413" s="16">
        <v>5</v>
      </c>
      <c r="V413" s="16" t="s">
        <v>27</v>
      </c>
      <c r="W413" s="16" t="s">
        <v>244</v>
      </c>
      <c r="X413" s="16">
        <v>4403</v>
      </c>
      <c r="Y413" s="16">
        <v>1921</v>
      </c>
      <c r="Z413" s="16">
        <v>1803</v>
      </c>
      <c r="AA413" s="16" t="s">
        <v>245</v>
      </c>
      <c r="AB413" s="16" t="s">
        <v>1053</v>
      </c>
    </row>
    <row r="414" spans="1:28" x14ac:dyDescent="0.3">
      <c r="A414" s="16" t="s">
        <v>1045</v>
      </c>
      <c r="B414" s="16" t="s">
        <v>1054</v>
      </c>
      <c r="C414" s="16">
        <v>132</v>
      </c>
      <c r="D41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414" s="16">
        <v>50</v>
      </c>
      <c r="F414" s="16" t="str">
        <f>IF(electric_vehicles_spec_2025_csv[[#This Row],[battery_capacity_kWh]]&lt;=30, "0–30 kWh", IF(electric_vehicles_spec_2025_csv[[#This Row],[battery_capacity_kWh]]&lt;=60, "31–60 kWh", "61+ kWh"))</f>
        <v>31–60 kWh</v>
      </c>
      <c r="G414" s="16" t="s">
        <v>24</v>
      </c>
      <c r="H414" s="16"/>
      <c r="I414" s="16">
        <v>260</v>
      </c>
      <c r="J414" s="16">
        <v>149</v>
      </c>
      <c r="K414" s="16" t="str">
        <f t="shared" si="6"/>
        <v>131–160 Wh/km</v>
      </c>
      <c r="L414" s="16">
        <v>230</v>
      </c>
      <c r="M414" s="16" t="str">
        <f>IF(electric_vehicles_spec_2025_csv[[#This Row],[range_km]]&lt;=200, "0–200 km",IF(electric_vehicles_spec_2025_csv[[#This Row],[range_km]]&lt;=400, "201–400 km", "401+ km"))</f>
        <v>201–400 km</v>
      </c>
      <c r="N414" s="16">
        <v>11.7</v>
      </c>
      <c r="O414" s="16" t="str">
        <f>IF(electric_vehicles_spec_2025_csv[[#This Row],[acceleration_0_100_s]]&lt;4,"0–3.9 s",IF(electric_vehicles_spec_2025_csv[[#This Row],[acceleration_0_100_s]]&lt;6,"4.0–5.9 s",IF(electric_vehicles_spec_2025_csv[[#This Row],[acceleration_0_100_s]]&lt;8,"6.0–7.9 s","8.0+ s")))</f>
        <v>8.0+ s</v>
      </c>
      <c r="P414" s="16">
        <v>80</v>
      </c>
      <c r="Q414" s="16" t="str">
        <f>IF(electric_vehicles_spec_2025_csv[[#This Row],[fast_charging_power_kw_dc]]&lt;50,"0–49 kW",IF(electric_vehicles_spec_2025_csv[[#This Row],[fast_charging_power_kw_dc]]&lt;100,"50–99 kW",IF(electric_vehicles_spec_2025_csv[[#This Row],[fast_charging_power_kw_dc]]&lt;150,"100–149 kW","150+ kW")))</f>
        <v>50–99 kW</v>
      </c>
      <c r="R414" s="16" t="s">
        <v>25</v>
      </c>
      <c r="S414" s="16">
        <v>750</v>
      </c>
      <c r="T414" s="16" t="s">
        <v>248</v>
      </c>
      <c r="U414" s="16">
        <v>7</v>
      </c>
      <c r="V414" s="16" t="s">
        <v>27</v>
      </c>
      <c r="W414" s="16" t="s">
        <v>244</v>
      </c>
      <c r="X414" s="16">
        <v>4753</v>
      </c>
      <c r="Y414" s="16">
        <v>1921</v>
      </c>
      <c r="Z414" s="16">
        <v>1814</v>
      </c>
      <c r="AA414" s="16" t="s">
        <v>245</v>
      </c>
      <c r="AB414" s="16" t="s">
        <v>1055</v>
      </c>
    </row>
    <row r="415" spans="1:28" x14ac:dyDescent="0.3">
      <c r="A415" s="16" t="s">
        <v>1045</v>
      </c>
      <c r="B415" s="16" t="s">
        <v>1056</v>
      </c>
      <c r="C415" s="16">
        <v>160</v>
      </c>
      <c r="D41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15" s="16">
        <v>64</v>
      </c>
      <c r="F415" s="16" t="str">
        <f>IF(electric_vehicles_spec_2025_csv[[#This Row],[battery_capacity_kWh]]&lt;=30, "0–30 kWh", IF(electric_vehicles_spec_2025_csv[[#This Row],[battery_capacity_kWh]]&lt;=60, "31–60 kWh", "61+ kWh"))</f>
        <v>61+ kWh</v>
      </c>
      <c r="G415" s="16" t="s">
        <v>24</v>
      </c>
      <c r="H415" s="16">
        <v>96</v>
      </c>
      <c r="I415" s="16">
        <v>336</v>
      </c>
      <c r="J415" s="16">
        <v>154</v>
      </c>
      <c r="K415" s="16" t="str">
        <f t="shared" si="6"/>
        <v>131–160 Wh/km</v>
      </c>
      <c r="L415" s="16">
        <v>345</v>
      </c>
      <c r="M415" s="16" t="str">
        <f>IF(electric_vehicles_spec_2025_csv[[#This Row],[range_km]]&lt;=200, "0–200 km",IF(electric_vehicles_spec_2025_csv[[#This Row],[range_km]]&lt;=400, "201–400 km", "401+ km"))</f>
        <v>201–400 km</v>
      </c>
      <c r="N415" s="16">
        <v>6.9</v>
      </c>
      <c r="O415" s="16" t="str">
        <f>IF(electric_vehicles_spec_2025_csv[[#This Row],[acceleration_0_100_s]]&lt;4,"0–3.9 s",IF(electric_vehicles_spec_2025_csv[[#This Row],[acceleration_0_100_s]]&lt;6,"4.0–5.9 s",IF(electric_vehicles_spec_2025_csv[[#This Row],[acceleration_0_100_s]]&lt;8,"6.0–7.9 s","8.0+ s")))</f>
        <v>6.0–7.9 s</v>
      </c>
      <c r="P415" s="16">
        <v>100</v>
      </c>
      <c r="Q415" s="16" t="str">
        <f>IF(electric_vehicles_spec_2025_csv[[#This Row],[fast_charging_power_kw_dc]]&lt;50,"0–49 kW",IF(electric_vehicles_spec_2025_csv[[#This Row],[fast_charging_power_kw_dc]]&lt;100,"50–99 kW",IF(electric_vehicles_spec_2025_csv[[#This Row],[fast_charging_power_kw_dc]]&lt;150,"100–149 kW","150+ kW")))</f>
        <v>100–149 kW</v>
      </c>
      <c r="R415" s="16" t="s">
        <v>25</v>
      </c>
      <c r="S415" s="16">
        <v>750</v>
      </c>
      <c r="T415" s="16" t="s">
        <v>1057</v>
      </c>
      <c r="U415" s="16">
        <v>5</v>
      </c>
      <c r="V415" s="16" t="s">
        <v>70</v>
      </c>
      <c r="W415" s="16" t="s">
        <v>43</v>
      </c>
      <c r="X415" s="16">
        <v>4690</v>
      </c>
      <c r="Y415" s="16">
        <v>1860</v>
      </c>
      <c r="Z415" s="16">
        <v>1600</v>
      </c>
      <c r="AA415" s="16" t="s">
        <v>36</v>
      </c>
      <c r="AB415" s="16" t="s">
        <v>1058</v>
      </c>
    </row>
    <row r="416" spans="1:28" x14ac:dyDescent="0.3">
      <c r="A416" s="16" t="s">
        <v>1045</v>
      </c>
      <c r="B416" s="16" t="s">
        <v>1059</v>
      </c>
      <c r="C416" s="16">
        <v>160</v>
      </c>
      <c r="D41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16" s="16">
        <v>64</v>
      </c>
      <c r="F416" s="16" t="str">
        <f>IF(electric_vehicles_spec_2025_csv[[#This Row],[battery_capacity_kWh]]&lt;=30, "0–30 kWh", IF(electric_vehicles_spec_2025_csv[[#This Row],[battery_capacity_kWh]]&lt;=60, "31–60 kWh", "61+ kWh"))</f>
        <v>61+ kWh</v>
      </c>
      <c r="G416" s="16" t="s">
        <v>24</v>
      </c>
      <c r="H416" s="16">
        <v>96</v>
      </c>
      <c r="I416" s="16">
        <v>265</v>
      </c>
      <c r="J416" s="16">
        <v>145</v>
      </c>
      <c r="K416" s="16" t="str">
        <f t="shared" si="6"/>
        <v>131–160 Wh/km</v>
      </c>
      <c r="L416" s="16">
        <v>350</v>
      </c>
      <c r="M416" s="16" t="str">
        <f>IF(electric_vehicles_spec_2025_csv[[#This Row],[range_km]]&lt;=200, "0–200 km",IF(electric_vehicles_spec_2025_csv[[#This Row],[range_km]]&lt;=400, "201–400 km", "401+ km"))</f>
        <v>201–400 km</v>
      </c>
      <c r="N416" s="16">
        <v>7.5</v>
      </c>
      <c r="O416" s="16" t="str">
        <f>IF(electric_vehicles_spec_2025_csv[[#This Row],[acceleration_0_100_s]]&lt;4,"0–3.9 s",IF(electric_vehicles_spec_2025_csv[[#This Row],[acceleration_0_100_s]]&lt;6,"4.0–5.9 s",IF(electric_vehicles_spec_2025_csv[[#This Row],[acceleration_0_100_s]]&lt;8,"6.0–7.9 s","8.0+ s")))</f>
        <v>6.0–7.9 s</v>
      </c>
      <c r="P416" s="16">
        <v>100</v>
      </c>
      <c r="Q416" s="16" t="str">
        <f>IF(electric_vehicles_spec_2025_csv[[#This Row],[fast_charging_power_kw_dc]]&lt;50,"0–49 kW",IF(electric_vehicles_spec_2025_csv[[#This Row],[fast_charging_power_kw_dc]]&lt;100,"50–99 kW",IF(electric_vehicles_spec_2025_csv[[#This Row],[fast_charging_power_kw_dc]]&lt;150,"100–149 kW","150+ kW")))</f>
        <v>100–149 kW</v>
      </c>
      <c r="R416" s="16" t="s">
        <v>25</v>
      </c>
      <c r="S416" s="16">
        <v>750</v>
      </c>
      <c r="T416" s="16" t="s">
        <v>1057</v>
      </c>
      <c r="U416" s="16">
        <v>5</v>
      </c>
      <c r="V416" s="16" t="s">
        <v>27</v>
      </c>
      <c r="W416" s="16" t="s">
        <v>43</v>
      </c>
      <c r="X416" s="16">
        <v>4690</v>
      </c>
      <c r="Y416" s="16">
        <v>1860</v>
      </c>
      <c r="Z416" s="16">
        <v>1600</v>
      </c>
      <c r="AA416" s="16" t="s">
        <v>36</v>
      </c>
      <c r="AB416" s="16" t="s">
        <v>1060</v>
      </c>
    </row>
    <row r="417" spans="1:28" x14ac:dyDescent="0.3">
      <c r="A417" s="16" t="s">
        <v>1061</v>
      </c>
      <c r="B417" s="16" t="s">
        <v>1062</v>
      </c>
      <c r="C417" s="16">
        <v>200</v>
      </c>
      <c r="D41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17" s="16">
        <v>87.7</v>
      </c>
      <c r="F417" s="16" t="str">
        <f>IF(electric_vehicles_spec_2025_csv[[#This Row],[battery_capacity_kWh]]&lt;=30, "0–30 kWh", IF(electric_vehicles_spec_2025_csv[[#This Row],[battery_capacity_kWh]]&lt;=60, "31–60 kWh", "61+ kWh"))</f>
        <v>61+ kWh</v>
      </c>
      <c r="G417" s="16" t="s">
        <v>24</v>
      </c>
      <c r="H417" s="16"/>
      <c r="I417" s="16">
        <v>500</v>
      </c>
      <c r="J417" s="16">
        <v>186</v>
      </c>
      <c r="K417" s="16" t="str">
        <f t="shared" si="6"/>
        <v>161+ Wh/km</v>
      </c>
      <c r="L417" s="16">
        <v>405</v>
      </c>
      <c r="M417" s="16" t="str">
        <f>IF(electric_vehicles_spec_2025_csv[[#This Row],[range_km]]&lt;=200, "0–200 km",IF(electric_vehicles_spec_2025_csv[[#This Row],[range_km]]&lt;=400, "201–400 km", "401+ km"))</f>
        <v>401+ km</v>
      </c>
      <c r="N417" s="16">
        <v>5.9</v>
      </c>
      <c r="O417" s="16" t="str">
        <f>IF(electric_vehicles_spec_2025_csv[[#This Row],[acceleration_0_100_s]]&lt;4,"0–3.9 s",IF(electric_vehicles_spec_2025_csv[[#This Row],[acceleration_0_100_s]]&lt;6,"4.0–5.9 s",IF(electric_vehicles_spec_2025_csv[[#This Row],[acceleration_0_100_s]]&lt;8,"6.0–7.9 s","8.0+ s")))</f>
        <v>4.0–5.9 s</v>
      </c>
      <c r="P417" s="16">
        <v>120</v>
      </c>
      <c r="Q417" s="16" t="str">
        <f>IF(electric_vehicles_spec_2025_csv[[#This Row],[fast_charging_power_kw_dc]]&lt;50,"0–49 kW",IF(electric_vehicles_spec_2025_csv[[#This Row],[fast_charging_power_kw_dc]]&lt;100,"50–99 kW",IF(electric_vehicles_spec_2025_csv[[#This Row],[fast_charging_power_kw_dc]]&lt;150,"100–149 kW","150+ kW")))</f>
        <v>100–149 kW</v>
      </c>
      <c r="R417" s="16" t="s">
        <v>25</v>
      </c>
      <c r="S417" s="16">
        <v>1800</v>
      </c>
      <c r="T417" s="16" t="s">
        <v>1063</v>
      </c>
      <c r="U417" s="16">
        <v>5</v>
      </c>
      <c r="V417" s="16" t="s">
        <v>70</v>
      </c>
      <c r="W417" s="16" t="s">
        <v>99</v>
      </c>
      <c r="X417" s="16">
        <v>4750</v>
      </c>
      <c r="Y417" s="16">
        <v>1934</v>
      </c>
      <c r="Z417" s="16">
        <v>1667</v>
      </c>
      <c r="AA417" s="16" t="s">
        <v>36</v>
      </c>
      <c r="AB417" s="16" t="s">
        <v>1064</v>
      </c>
    </row>
    <row r="418" spans="1:28" x14ac:dyDescent="0.3">
      <c r="A418" s="16" t="s">
        <v>1061</v>
      </c>
      <c r="B418" s="16" t="s">
        <v>1065</v>
      </c>
      <c r="C418" s="16">
        <v>200</v>
      </c>
      <c r="D41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18" s="16">
        <v>87.7</v>
      </c>
      <c r="F418" s="16" t="str">
        <f>IF(electric_vehicles_spec_2025_csv[[#This Row],[battery_capacity_kWh]]&lt;=30, "0–30 kWh", IF(electric_vehicles_spec_2025_csv[[#This Row],[battery_capacity_kWh]]&lt;=60, "31–60 kWh", "61+ kWh"))</f>
        <v>61+ kWh</v>
      </c>
      <c r="G418" s="16" t="s">
        <v>24</v>
      </c>
      <c r="H418" s="16"/>
      <c r="I418" s="16">
        <v>620</v>
      </c>
      <c r="J418" s="16">
        <v>196</v>
      </c>
      <c r="K418" s="16" t="str">
        <f t="shared" si="6"/>
        <v>161+ Wh/km</v>
      </c>
      <c r="L418" s="16">
        <v>400</v>
      </c>
      <c r="M418" s="16" t="str">
        <f>IF(electric_vehicles_spec_2025_csv[[#This Row],[range_km]]&lt;=200, "0–200 km",IF(electric_vehicles_spec_2025_csv[[#This Row],[range_km]]&lt;=400, "201–400 km", "401+ km"))</f>
        <v>201–400 km</v>
      </c>
      <c r="N418" s="16">
        <v>5.5</v>
      </c>
      <c r="O418" s="16" t="str">
        <f>IF(electric_vehicles_spec_2025_csv[[#This Row],[acceleration_0_100_s]]&lt;4,"0–3.9 s",IF(electric_vehicles_spec_2025_csv[[#This Row],[acceleration_0_100_s]]&lt;6,"4.0–5.9 s",IF(electric_vehicles_spec_2025_csv[[#This Row],[acceleration_0_100_s]]&lt;8,"6.0–7.9 s","8.0+ s")))</f>
        <v>4.0–5.9 s</v>
      </c>
      <c r="P418" s="16">
        <v>120</v>
      </c>
      <c r="Q418" s="16" t="str">
        <f>IF(electric_vehicles_spec_2025_csv[[#This Row],[fast_charging_power_kw_dc]]&lt;50,"0–49 kW",IF(electric_vehicles_spec_2025_csv[[#This Row],[fast_charging_power_kw_dc]]&lt;100,"50–99 kW",IF(electric_vehicles_spec_2025_csv[[#This Row],[fast_charging_power_kw_dc]]&lt;150,"100–149 kW","150+ kW")))</f>
        <v>100–149 kW</v>
      </c>
      <c r="R418" s="16" t="s">
        <v>25</v>
      </c>
      <c r="S418" s="16">
        <v>1800</v>
      </c>
      <c r="T418" s="16" t="s">
        <v>1063</v>
      </c>
      <c r="U418" s="16">
        <v>5</v>
      </c>
      <c r="V418" s="16" t="s">
        <v>70</v>
      </c>
      <c r="W418" s="16" t="s">
        <v>99</v>
      </c>
      <c r="X418" s="16">
        <v>4750</v>
      </c>
      <c r="Y418" s="16">
        <v>1934</v>
      </c>
      <c r="Z418" s="16">
        <v>1667</v>
      </c>
      <c r="AA418" s="16" t="s">
        <v>36</v>
      </c>
      <c r="AB418" s="16" t="s">
        <v>1066</v>
      </c>
    </row>
    <row r="419" spans="1:28" x14ac:dyDescent="0.3">
      <c r="A419" s="16" t="s">
        <v>1067</v>
      </c>
      <c r="B419" s="16" t="s">
        <v>1068</v>
      </c>
      <c r="C419" s="16">
        <v>160</v>
      </c>
      <c r="D41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19" s="16">
        <v>86</v>
      </c>
      <c r="F419" s="16" t="str">
        <f>IF(electric_vehicles_spec_2025_csv[[#This Row],[battery_capacity_kWh]]&lt;=30, "0–30 kWh", IF(electric_vehicles_spec_2025_csv[[#This Row],[battery_capacity_kWh]]&lt;=60, "31–60 kWh", "61+ kWh"))</f>
        <v>61+ kWh</v>
      </c>
      <c r="G419" s="16" t="s">
        <v>24</v>
      </c>
      <c r="H419" s="16">
        <v>312</v>
      </c>
      <c r="I419" s="16">
        <v>560</v>
      </c>
      <c r="J419" s="16">
        <v>182</v>
      </c>
      <c r="K419" s="16" t="str">
        <f t="shared" si="6"/>
        <v>161+ Wh/km</v>
      </c>
      <c r="L419" s="16">
        <v>350</v>
      </c>
      <c r="M419" s="16" t="str">
        <f>IF(electric_vehicles_spec_2025_csv[[#This Row],[range_km]]&lt;=200, "0–200 km",IF(electric_vehicles_spec_2025_csv[[#This Row],[range_km]]&lt;=400, "201–400 km", "401+ km"))</f>
        <v>201–400 km</v>
      </c>
      <c r="N419" s="16">
        <v>6.5</v>
      </c>
      <c r="O419" s="16" t="str">
        <f>IF(electric_vehicles_spec_2025_csv[[#This Row],[acceleration_0_100_s]]&lt;4,"0–3.9 s",IF(electric_vehicles_spec_2025_csv[[#This Row],[acceleration_0_100_s]]&lt;6,"4.0–5.9 s",IF(electric_vehicles_spec_2025_csv[[#This Row],[acceleration_0_100_s]]&lt;8,"6.0–7.9 s","8.0+ s")))</f>
        <v>6.0–7.9 s</v>
      </c>
      <c r="P419" s="16">
        <v>145</v>
      </c>
      <c r="Q419" s="16" t="str">
        <f>IF(electric_vehicles_spec_2025_csv[[#This Row],[fast_charging_power_kw_dc]]&lt;50,"0–49 kW",IF(electric_vehicles_spec_2025_csv[[#This Row],[fast_charging_power_kw_dc]]&lt;100,"50–99 kW",IF(electric_vehicles_spec_2025_csv[[#This Row],[fast_charging_power_kw_dc]]&lt;150,"100–149 kW","150+ kW")))</f>
        <v>100–149 kW</v>
      </c>
      <c r="R419" s="16" t="s">
        <v>25</v>
      </c>
      <c r="S419" s="16">
        <v>1600</v>
      </c>
      <c r="T419" s="16" t="s">
        <v>1069</v>
      </c>
      <c r="U419" s="16">
        <v>7</v>
      </c>
      <c r="V419" s="16" t="s">
        <v>70</v>
      </c>
      <c r="W419" s="16" t="s">
        <v>244</v>
      </c>
      <c r="X419" s="16">
        <v>4960</v>
      </c>
      <c r="Y419" s="16">
        <v>1985</v>
      </c>
      <c r="Z419" s="16">
        <v>1927</v>
      </c>
      <c r="AA419" s="16" t="s">
        <v>245</v>
      </c>
      <c r="AB419" s="16" t="s">
        <v>1070</v>
      </c>
    </row>
    <row r="420" spans="1:28" x14ac:dyDescent="0.3">
      <c r="A420" s="16" t="s">
        <v>1067</v>
      </c>
      <c r="B420" s="16" t="s">
        <v>1071</v>
      </c>
      <c r="C420" s="16">
        <v>160</v>
      </c>
      <c r="D42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20" s="16">
        <v>86</v>
      </c>
      <c r="F420" s="16" t="str">
        <f>IF(electric_vehicles_spec_2025_csv[[#This Row],[battery_capacity_kWh]]&lt;=30, "0–30 kWh", IF(electric_vehicles_spec_2025_csv[[#This Row],[battery_capacity_kWh]]&lt;=60, "31–60 kWh", "61+ kWh"))</f>
        <v>61+ kWh</v>
      </c>
      <c r="G420" s="16" t="s">
        <v>24</v>
      </c>
      <c r="H420" s="16">
        <v>312</v>
      </c>
      <c r="I420" s="16">
        <v>560</v>
      </c>
      <c r="J420" s="16">
        <v>190</v>
      </c>
      <c r="K420" s="16" t="str">
        <f t="shared" si="6"/>
        <v>161+ Wh/km</v>
      </c>
      <c r="L420" s="16">
        <v>370</v>
      </c>
      <c r="M420" s="16" t="str">
        <f>IF(electric_vehicles_spec_2025_csv[[#This Row],[range_km]]&lt;=200, "0–200 km",IF(electric_vehicles_spec_2025_csv[[#This Row],[range_km]]&lt;=400, "201–400 km", "401+ km"))</f>
        <v>201–400 km</v>
      </c>
      <c r="N420" s="16">
        <v>7.9</v>
      </c>
      <c r="O420" s="16" t="str">
        <f>IF(electric_vehicles_spec_2025_csv[[#This Row],[acceleration_0_100_s]]&lt;4,"0–3.9 s",IF(electric_vehicles_spec_2025_csv[[#This Row],[acceleration_0_100_s]]&lt;6,"4.0–5.9 s",IF(electric_vehicles_spec_2025_csv[[#This Row],[acceleration_0_100_s]]&lt;8,"6.0–7.9 s","8.0+ s")))</f>
        <v>6.0–7.9 s</v>
      </c>
      <c r="P420" s="16">
        <v>145</v>
      </c>
      <c r="Q420" s="16" t="str">
        <f>IF(electric_vehicles_spec_2025_csv[[#This Row],[fast_charging_power_kw_dc]]&lt;50,"0–49 kW",IF(electric_vehicles_spec_2025_csv[[#This Row],[fast_charging_power_kw_dc]]&lt;100,"50–99 kW",IF(electric_vehicles_spec_2025_csv[[#This Row],[fast_charging_power_kw_dc]]&lt;150,"100–149 kW","150+ kW")))</f>
        <v>100–149 kW</v>
      </c>
      <c r="R420" s="16" t="s">
        <v>25</v>
      </c>
      <c r="S420" s="16">
        <v>1000</v>
      </c>
      <c r="T420" s="16" t="s">
        <v>1069</v>
      </c>
      <c r="U420" s="16">
        <v>7</v>
      </c>
      <c r="V420" s="16" t="s">
        <v>63</v>
      </c>
      <c r="W420" s="16" t="s">
        <v>244</v>
      </c>
      <c r="X420" s="16">
        <v>4962</v>
      </c>
      <c r="Y420" s="16">
        <v>1985</v>
      </c>
      <c r="Z420" s="16">
        <v>1924</v>
      </c>
      <c r="AA420" s="16" t="s">
        <v>245</v>
      </c>
      <c r="AB420" s="16" t="s">
        <v>1072</v>
      </c>
    </row>
    <row r="421" spans="1:28" x14ac:dyDescent="0.3">
      <c r="A421" s="16" t="s">
        <v>1067</v>
      </c>
      <c r="B421" s="16" t="s">
        <v>1073</v>
      </c>
      <c r="C421" s="16">
        <v>160</v>
      </c>
      <c r="D42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21" s="16">
        <v>79</v>
      </c>
      <c r="F421" s="16" t="str">
        <f>IF(electric_vehicles_spec_2025_csv[[#This Row],[battery_capacity_kWh]]&lt;=30, "0–30 kWh", IF(electric_vehicles_spec_2025_csv[[#This Row],[battery_capacity_kWh]]&lt;=60, "31–60 kWh", "61+ kWh"))</f>
        <v>61+ kWh</v>
      </c>
      <c r="G421" s="16" t="s">
        <v>24</v>
      </c>
      <c r="H421" s="16">
        <v>288</v>
      </c>
      <c r="I421" s="16">
        <v>560</v>
      </c>
      <c r="J421" s="16">
        <v>194</v>
      </c>
      <c r="K421" s="16" t="str">
        <f t="shared" si="6"/>
        <v>161+ Wh/km</v>
      </c>
      <c r="L421" s="16">
        <v>330</v>
      </c>
      <c r="M421" s="16" t="str">
        <f>IF(electric_vehicles_spec_2025_csv[[#This Row],[range_km]]&lt;=200, "0–200 km",IF(electric_vehicles_spec_2025_csv[[#This Row],[range_km]]&lt;=400, "201–400 km", "401+ km"))</f>
        <v>201–400 km</v>
      </c>
      <c r="N421" s="16">
        <v>6.5</v>
      </c>
      <c r="O421" s="16" t="str">
        <f>IF(electric_vehicles_spec_2025_csv[[#This Row],[acceleration_0_100_s]]&lt;4,"0–3.9 s",IF(electric_vehicles_spec_2025_csv[[#This Row],[acceleration_0_100_s]]&lt;6,"4.0–5.9 s",IF(electric_vehicles_spec_2025_csv[[#This Row],[acceleration_0_100_s]]&lt;8,"6.0–7.9 s","8.0+ s")))</f>
        <v>6.0–7.9 s</v>
      </c>
      <c r="P421" s="16">
        <v>135</v>
      </c>
      <c r="Q421" s="16" t="str">
        <f>IF(electric_vehicles_spec_2025_csv[[#This Row],[fast_charging_power_kw_dc]]&lt;50,"0–49 kW",IF(electric_vehicles_spec_2025_csv[[#This Row],[fast_charging_power_kw_dc]]&lt;100,"50–99 kW",IF(electric_vehicles_spec_2025_csv[[#This Row],[fast_charging_power_kw_dc]]&lt;150,"100–149 kW","150+ kW")))</f>
        <v>100–149 kW</v>
      </c>
      <c r="R421" s="16" t="s">
        <v>25</v>
      </c>
      <c r="S421" s="16">
        <v>1800</v>
      </c>
      <c r="T421" s="16" t="s">
        <v>1074</v>
      </c>
      <c r="U421" s="16">
        <v>6</v>
      </c>
      <c r="V421" s="16" t="s">
        <v>70</v>
      </c>
      <c r="W421" s="16" t="s">
        <v>244</v>
      </c>
      <c r="X421" s="16">
        <v>4712</v>
      </c>
      <c r="Y421" s="16">
        <v>1985</v>
      </c>
      <c r="Z421" s="16">
        <v>1925</v>
      </c>
      <c r="AA421" s="16" t="s">
        <v>245</v>
      </c>
      <c r="AB421" s="16" t="s">
        <v>1075</v>
      </c>
    </row>
    <row r="422" spans="1:28" x14ac:dyDescent="0.3">
      <c r="A422" s="16" t="s">
        <v>1067</v>
      </c>
      <c r="B422" s="16" t="s">
        <v>1076</v>
      </c>
      <c r="C422" s="16">
        <v>160</v>
      </c>
      <c r="D42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22" s="16">
        <v>79</v>
      </c>
      <c r="F422" s="16" t="str">
        <f>IF(electric_vehicles_spec_2025_csv[[#This Row],[battery_capacity_kWh]]&lt;=30, "0–30 kWh", IF(electric_vehicles_spec_2025_csv[[#This Row],[battery_capacity_kWh]]&lt;=60, "31–60 kWh", "61+ kWh"))</f>
        <v>61+ kWh</v>
      </c>
      <c r="G422" s="16" t="s">
        <v>24</v>
      </c>
      <c r="H422" s="16">
        <v>288</v>
      </c>
      <c r="I422" s="16">
        <v>560</v>
      </c>
      <c r="J422" s="16">
        <v>187</v>
      </c>
      <c r="K422" s="16" t="str">
        <f t="shared" si="6"/>
        <v>161+ Wh/km</v>
      </c>
      <c r="L422" s="16">
        <v>360</v>
      </c>
      <c r="M422" s="16" t="str">
        <f>IF(electric_vehicles_spec_2025_csv[[#This Row],[range_km]]&lt;=200, "0–200 km",IF(electric_vehicles_spec_2025_csv[[#This Row],[range_km]]&lt;=400, "201–400 km", "401+ km"))</f>
        <v>201–400 km</v>
      </c>
      <c r="N422" s="16">
        <v>7.6</v>
      </c>
      <c r="O422" s="16" t="str">
        <f>IF(electric_vehicles_spec_2025_csv[[#This Row],[acceleration_0_100_s]]&lt;4,"0–3.9 s",IF(electric_vehicles_spec_2025_csv[[#This Row],[acceleration_0_100_s]]&lt;6,"4.0–5.9 s",IF(electric_vehicles_spec_2025_csv[[#This Row],[acceleration_0_100_s]]&lt;8,"6.0–7.9 s","8.0+ s")))</f>
        <v>6.0–7.9 s</v>
      </c>
      <c r="P422" s="16">
        <v>135</v>
      </c>
      <c r="Q422" s="16" t="str">
        <f>IF(electric_vehicles_spec_2025_csv[[#This Row],[fast_charging_power_kw_dc]]&lt;50,"0–49 kW",IF(electric_vehicles_spec_2025_csv[[#This Row],[fast_charging_power_kw_dc]]&lt;100,"50–99 kW",IF(electric_vehicles_spec_2025_csv[[#This Row],[fast_charging_power_kw_dc]]&lt;150,"100–149 kW","150+ kW")))</f>
        <v>100–149 kW</v>
      </c>
      <c r="R422" s="16" t="s">
        <v>25</v>
      </c>
      <c r="S422" s="16">
        <v>1200</v>
      </c>
      <c r="T422" s="16" t="s">
        <v>1074</v>
      </c>
      <c r="U422" s="16">
        <v>6</v>
      </c>
      <c r="V422" s="16" t="s">
        <v>63</v>
      </c>
      <c r="W422" s="16" t="s">
        <v>244</v>
      </c>
      <c r="X422" s="16">
        <v>4712</v>
      </c>
      <c r="Y422" s="16">
        <v>1985</v>
      </c>
      <c r="Z422" s="16">
        <v>1927</v>
      </c>
      <c r="AA422" s="16" t="s">
        <v>245</v>
      </c>
      <c r="AB422" s="16" t="s">
        <v>1077</v>
      </c>
    </row>
    <row r="423" spans="1:28" x14ac:dyDescent="0.3">
      <c r="A423" s="16" t="s">
        <v>1067</v>
      </c>
      <c r="B423" s="16" t="s">
        <v>1078</v>
      </c>
      <c r="C423" s="16">
        <v>145</v>
      </c>
      <c r="D42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125–149 km/h</v>
      </c>
      <c r="E423" s="16">
        <v>59</v>
      </c>
      <c r="F423" s="16" t="str">
        <f>IF(electric_vehicles_spec_2025_csv[[#This Row],[battery_capacity_kWh]]&lt;=30, "0–30 kWh", IF(electric_vehicles_spec_2025_csv[[#This Row],[battery_capacity_kWh]]&lt;=60, "31–60 kWh", "61+ kWh"))</f>
        <v>31–60 kWh</v>
      </c>
      <c r="G423" s="16" t="s">
        <v>24</v>
      </c>
      <c r="H423" s="16">
        <v>216</v>
      </c>
      <c r="I423" s="16">
        <v>310</v>
      </c>
      <c r="J423" s="16">
        <v>178</v>
      </c>
      <c r="K423" s="16" t="str">
        <f t="shared" si="6"/>
        <v>161+ Wh/km</v>
      </c>
      <c r="L423" s="16">
        <v>275</v>
      </c>
      <c r="M423" s="16" t="str">
        <f>IF(electric_vehicles_spec_2025_csv[[#This Row],[range_km]]&lt;=200, "0–200 km",IF(electric_vehicles_spec_2025_csv[[#This Row],[range_km]]&lt;=400, "201–400 km", "401+ km"))</f>
        <v>201–400 km</v>
      </c>
      <c r="N423" s="16">
        <v>10.7</v>
      </c>
      <c r="O423" s="16" t="str">
        <f>IF(electric_vehicles_spec_2025_csv[[#This Row],[acceleration_0_100_s]]&lt;4,"0–3.9 s",IF(electric_vehicles_spec_2025_csv[[#This Row],[acceleration_0_100_s]]&lt;6,"4.0–5.9 s",IF(electric_vehicles_spec_2025_csv[[#This Row],[acceleration_0_100_s]]&lt;8,"6.0–7.9 s","8.0+ s")))</f>
        <v>8.0+ s</v>
      </c>
      <c r="P423" s="16">
        <v>110</v>
      </c>
      <c r="Q423" s="16" t="str">
        <f>IF(electric_vehicles_spec_2025_csv[[#This Row],[fast_charging_power_kw_dc]]&lt;50,"0–49 kW",IF(electric_vehicles_spec_2025_csv[[#This Row],[fast_charging_power_kw_dc]]&lt;100,"50–99 kW",IF(electric_vehicles_spec_2025_csv[[#This Row],[fast_charging_power_kw_dc]]&lt;150,"100–149 kW","150+ kW")))</f>
        <v>100–149 kW</v>
      </c>
      <c r="R423" s="16" t="s">
        <v>25</v>
      </c>
      <c r="S423" s="16">
        <v>1000</v>
      </c>
      <c r="T423" s="16" t="s">
        <v>1074</v>
      </c>
      <c r="U423" s="16">
        <v>6</v>
      </c>
      <c r="V423" s="16" t="s">
        <v>63</v>
      </c>
      <c r="W423" s="16" t="s">
        <v>244</v>
      </c>
      <c r="X423" s="16">
        <v>4712</v>
      </c>
      <c r="Y423" s="16">
        <v>1985</v>
      </c>
      <c r="Z423" s="16">
        <v>1927</v>
      </c>
      <c r="AA423" s="16" t="s">
        <v>245</v>
      </c>
      <c r="AB423" s="16" t="s">
        <v>1079</v>
      </c>
    </row>
    <row r="424" spans="1:28" x14ac:dyDescent="0.3">
      <c r="A424" s="16" t="s">
        <v>1067</v>
      </c>
      <c r="B424" s="16" t="s">
        <v>1080</v>
      </c>
      <c r="C424" s="16">
        <v>180</v>
      </c>
      <c r="D42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24" s="16">
        <v>79</v>
      </c>
      <c r="F424" s="16" t="str">
        <f>IF(electric_vehicles_spec_2025_csv[[#This Row],[battery_capacity_kWh]]&lt;=30, "0–30 kWh", IF(electric_vehicles_spec_2025_csv[[#This Row],[battery_capacity_kWh]]&lt;=60, "31–60 kWh", "61+ kWh"))</f>
        <v>61+ kWh</v>
      </c>
      <c r="G424" s="16" t="s">
        <v>24</v>
      </c>
      <c r="H424" s="16">
        <v>288</v>
      </c>
      <c r="I424" s="16">
        <v>545</v>
      </c>
      <c r="J424" s="16">
        <v>131</v>
      </c>
      <c r="K424" s="16" t="str">
        <f t="shared" si="6"/>
        <v>131–160 Wh/km</v>
      </c>
      <c r="L424" s="16">
        <v>470</v>
      </c>
      <c r="M424" s="16" t="str">
        <f>IF(electric_vehicles_spec_2025_csv[[#This Row],[range_km]]&lt;=200, "0–200 km",IF(electric_vehicles_spec_2025_csv[[#This Row],[range_km]]&lt;=400, "201–400 km", "401+ km"))</f>
        <v>401+ km</v>
      </c>
      <c r="N424" s="16">
        <v>5.9</v>
      </c>
      <c r="O424" s="16" t="str">
        <f>IF(electric_vehicles_spec_2025_csv[[#This Row],[acceleration_0_100_s]]&lt;4,"0–3.9 s",IF(electric_vehicles_spec_2025_csv[[#This Row],[acceleration_0_100_s]]&lt;6,"4.0–5.9 s",IF(electric_vehicles_spec_2025_csv[[#This Row],[acceleration_0_100_s]]&lt;8,"6.0–7.9 s","8.0+ s")))</f>
        <v>4.0–5.9 s</v>
      </c>
      <c r="P424" s="16">
        <v>135</v>
      </c>
      <c r="Q424" s="16" t="str">
        <f>IF(electric_vehicles_spec_2025_csv[[#This Row],[fast_charging_power_kw_dc]]&lt;50,"0–49 kW",IF(electric_vehicles_spec_2025_csv[[#This Row],[fast_charging_power_kw_dc]]&lt;100,"50–99 kW",IF(electric_vehicles_spec_2025_csv[[#This Row],[fast_charging_power_kw_dc]]&lt;150,"100–149 kW","150+ kW")))</f>
        <v>100–149 kW</v>
      </c>
      <c r="R424" s="16" t="s">
        <v>25</v>
      </c>
      <c r="S424" s="16">
        <v>0</v>
      </c>
      <c r="T424" s="16" t="s">
        <v>225</v>
      </c>
      <c r="U424" s="16">
        <v>5</v>
      </c>
      <c r="V424" s="16" t="s">
        <v>63</v>
      </c>
      <c r="W424" s="16" t="s">
        <v>190</v>
      </c>
      <c r="X424" s="16">
        <v>4322</v>
      </c>
      <c r="Y424" s="16">
        <v>1809</v>
      </c>
      <c r="Z424" s="16">
        <v>1538</v>
      </c>
      <c r="AA424" s="16" t="s">
        <v>29</v>
      </c>
      <c r="AB424" s="16" t="s">
        <v>1081</v>
      </c>
    </row>
    <row r="425" spans="1:28" x14ac:dyDescent="0.3">
      <c r="A425" s="16" t="s">
        <v>1067</v>
      </c>
      <c r="B425" s="16" t="s">
        <v>1082</v>
      </c>
      <c r="C425" s="16">
        <v>200</v>
      </c>
      <c r="D42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25" s="16">
        <v>79</v>
      </c>
      <c r="F425" s="16" t="str">
        <f>IF(electric_vehicles_spec_2025_csv[[#This Row],[battery_capacity_kWh]]&lt;=30, "0–30 kWh", IF(electric_vehicles_spec_2025_csv[[#This Row],[battery_capacity_kWh]]&lt;=60, "31–60 kWh", "61+ kWh"))</f>
        <v>61+ kWh</v>
      </c>
      <c r="G425" s="16" t="s">
        <v>24</v>
      </c>
      <c r="H425" s="16">
        <v>288</v>
      </c>
      <c r="I425" s="16">
        <v>545</v>
      </c>
      <c r="J425" s="16">
        <v>131</v>
      </c>
      <c r="K425" s="16" t="str">
        <f t="shared" si="6"/>
        <v>131–160 Wh/km</v>
      </c>
      <c r="L425" s="16">
        <v>465</v>
      </c>
      <c r="M425" s="16" t="str">
        <f>IF(electric_vehicles_spec_2025_csv[[#This Row],[range_km]]&lt;=200, "0–200 km",IF(electric_vehicles_spec_2025_csv[[#This Row],[range_km]]&lt;=400, "201–400 km", "401+ km"))</f>
        <v>401+ km</v>
      </c>
      <c r="N425" s="16">
        <v>5.6</v>
      </c>
      <c r="O425" s="16" t="str">
        <f>IF(electric_vehicles_spec_2025_csv[[#This Row],[acceleration_0_100_s]]&lt;4,"0–3.9 s",IF(electric_vehicles_spec_2025_csv[[#This Row],[acceleration_0_100_s]]&lt;6,"4.0–5.9 s",IF(electric_vehicles_spec_2025_csv[[#This Row],[acceleration_0_100_s]]&lt;8,"6.0–7.9 s","8.0+ s")))</f>
        <v>4.0–5.9 s</v>
      </c>
      <c r="P425" s="16">
        <v>135</v>
      </c>
      <c r="Q425" s="16" t="str">
        <f>IF(electric_vehicles_spec_2025_csv[[#This Row],[fast_charging_power_kw_dc]]&lt;50,"0–49 kW",IF(electric_vehicles_spec_2025_csv[[#This Row],[fast_charging_power_kw_dc]]&lt;100,"50–99 kW",IF(electric_vehicles_spec_2025_csv[[#This Row],[fast_charging_power_kw_dc]]&lt;150,"100–149 kW","150+ kW")))</f>
        <v>100–149 kW</v>
      </c>
      <c r="R425" s="16" t="s">
        <v>25</v>
      </c>
      <c r="S425" s="16">
        <v>0</v>
      </c>
      <c r="T425" s="16" t="s">
        <v>225</v>
      </c>
      <c r="U425" s="16">
        <v>5</v>
      </c>
      <c r="V425" s="16" t="s">
        <v>63</v>
      </c>
      <c r="W425" s="16" t="s">
        <v>190</v>
      </c>
      <c r="X425" s="16">
        <v>4322</v>
      </c>
      <c r="Y425" s="16">
        <v>1809</v>
      </c>
      <c r="Z425" s="16">
        <v>1538</v>
      </c>
      <c r="AA425" s="16" t="s">
        <v>29</v>
      </c>
      <c r="AB425" s="16" t="s">
        <v>1083</v>
      </c>
    </row>
    <row r="426" spans="1:28" x14ac:dyDescent="0.3">
      <c r="A426" s="16" t="s">
        <v>1067</v>
      </c>
      <c r="B426" s="16" t="s">
        <v>1084</v>
      </c>
      <c r="C426" s="16">
        <v>160</v>
      </c>
      <c r="D42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26" s="16">
        <v>59</v>
      </c>
      <c r="F426" s="16" t="str">
        <f>IF(electric_vehicles_spec_2025_csv[[#This Row],[battery_capacity_kWh]]&lt;=30, "0–30 kWh", IF(electric_vehicles_spec_2025_csv[[#This Row],[battery_capacity_kWh]]&lt;=60, "31–60 kWh", "61+ kWh"))</f>
        <v>31–60 kWh</v>
      </c>
      <c r="G426" s="16" t="s">
        <v>24</v>
      </c>
      <c r="H426" s="16">
        <v>216</v>
      </c>
      <c r="I426" s="16">
        <v>310</v>
      </c>
      <c r="J426" s="16">
        <v>136</v>
      </c>
      <c r="K426" s="16" t="str">
        <f t="shared" si="6"/>
        <v>131–160 Wh/km</v>
      </c>
      <c r="L426" s="16">
        <v>365</v>
      </c>
      <c r="M426" s="16" t="str">
        <f>IF(electric_vehicles_spec_2025_csv[[#This Row],[range_km]]&lt;=200, "0–200 km",IF(electric_vehicles_spec_2025_csv[[#This Row],[range_km]]&lt;=400, "201–400 km", "401+ km"))</f>
        <v>201–400 km</v>
      </c>
      <c r="N426" s="16">
        <v>7.6</v>
      </c>
      <c r="O426" s="16" t="str">
        <f>IF(electric_vehicles_spec_2025_csv[[#This Row],[acceleration_0_100_s]]&lt;4,"0–3.9 s",IF(electric_vehicles_spec_2025_csv[[#This Row],[acceleration_0_100_s]]&lt;6,"4.0–5.9 s",IF(electric_vehicles_spec_2025_csv[[#This Row],[acceleration_0_100_s]]&lt;8,"6.0–7.9 s","8.0+ s")))</f>
        <v>6.0–7.9 s</v>
      </c>
      <c r="P426" s="16">
        <v>110</v>
      </c>
      <c r="Q426" s="16" t="str">
        <f>IF(electric_vehicles_spec_2025_csv[[#This Row],[fast_charging_power_kw_dc]]&lt;50,"0–49 kW",IF(electric_vehicles_spec_2025_csv[[#This Row],[fast_charging_power_kw_dc]]&lt;100,"50–99 kW",IF(electric_vehicles_spec_2025_csv[[#This Row],[fast_charging_power_kw_dc]]&lt;150,"100–149 kW","150+ kW")))</f>
        <v>100–149 kW</v>
      </c>
      <c r="R426" s="16" t="s">
        <v>25</v>
      </c>
      <c r="S426" s="16">
        <v>0</v>
      </c>
      <c r="T426" s="16" t="s">
        <v>225</v>
      </c>
      <c r="U426" s="16">
        <v>5</v>
      </c>
      <c r="V426" s="16" t="s">
        <v>63</v>
      </c>
      <c r="W426" s="16" t="s">
        <v>190</v>
      </c>
      <c r="X426" s="16">
        <v>4264</v>
      </c>
      <c r="Y426" s="16">
        <v>1809</v>
      </c>
      <c r="Z426" s="16">
        <v>1564</v>
      </c>
      <c r="AA426" s="16" t="s">
        <v>29</v>
      </c>
      <c r="AB426" s="16" t="s">
        <v>1085</v>
      </c>
    </row>
    <row r="427" spans="1:28" x14ac:dyDescent="0.3">
      <c r="A427" s="16" t="s">
        <v>1067</v>
      </c>
      <c r="B427" s="16" t="s">
        <v>1086</v>
      </c>
      <c r="C427" s="16">
        <v>160</v>
      </c>
      <c r="D42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27" s="16">
        <v>77</v>
      </c>
      <c r="F427" s="16" t="str">
        <f>IF(electric_vehicles_spec_2025_csv[[#This Row],[battery_capacity_kWh]]&lt;=30, "0–30 kWh", IF(electric_vehicles_spec_2025_csv[[#This Row],[battery_capacity_kWh]]&lt;=60, "31–60 kWh", "61+ kWh"))</f>
        <v>61+ kWh</v>
      </c>
      <c r="G427" s="16" t="s">
        <v>24</v>
      </c>
      <c r="H427" s="16">
        <v>288</v>
      </c>
      <c r="I427" s="16">
        <v>310</v>
      </c>
      <c r="J427" s="16">
        <v>138</v>
      </c>
      <c r="K427" s="16" t="str">
        <f t="shared" si="6"/>
        <v>131–160 Wh/km</v>
      </c>
      <c r="L427" s="16">
        <v>465</v>
      </c>
      <c r="M427" s="16" t="str">
        <f>IF(electric_vehicles_spec_2025_csv[[#This Row],[range_km]]&lt;=200, "0–200 km",IF(electric_vehicles_spec_2025_csv[[#This Row],[range_km]]&lt;=400, "201–400 km", "401+ km"))</f>
        <v>401+ km</v>
      </c>
      <c r="N427" s="16">
        <v>7.1</v>
      </c>
      <c r="O427" s="16" t="str">
        <f>IF(electric_vehicles_spec_2025_csv[[#This Row],[acceleration_0_100_s]]&lt;4,"0–3.9 s",IF(electric_vehicles_spec_2025_csv[[#This Row],[acceleration_0_100_s]]&lt;6,"4.0–5.9 s",IF(electric_vehicles_spec_2025_csv[[#This Row],[acceleration_0_100_s]]&lt;8,"6.0–7.9 s","8.0+ s")))</f>
        <v>6.0–7.9 s</v>
      </c>
      <c r="P427" s="16">
        <v>120</v>
      </c>
      <c r="Q427" s="16" t="str">
        <f>IF(electric_vehicles_spec_2025_csv[[#This Row],[fast_charging_power_kw_dc]]&lt;50,"0–49 kW",IF(electric_vehicles_spec_2025_csv[[#This Row],[fast_charging_power_kw_dc]]&lt;100,"50–99 kW",IF(electric_vehicles_spec_2025_csv[[#This Row],[fast_charging_power_kw_dc]]&lt;150,"100–149 kW","150+ kW")))</f>
        <v>100–149 kW</v>
      </c>
      <c r="R427" s="16" t="s">
        <v>25</v>
      </c>
      <c r="S427" s="16">
        <v>0</v>
      </c>
      <c r="T427" s="16" t="s">
        <v>225</v>
      </c>
      <c r="U427" s="16">
        <v>5</v>
      </c>
      <c r="V427" s="16" t="s">
        <v>63</v>
      </c>
      <c r="W427" s="16" t="s">
        <v>190</v>
      </c>
      <c r="X427" s="16">
        <v>4264</v>
      </c>
      <c r="Y427" s="16">
        <v>1809</v>
      </c>
      <c r="Z427" s="16">
        <v>1564</v>
      </c>
      <c r="AA427" s="16" t="s">
        <v>29</v>
      </c>
      <c r="AB427" s="16" t="s">
        <v>1087</v>
      </c>
    </row>
    <row r="428" spans="1:28" x14ac:dyDescent="0.3">
      <c r="A428" s="16" t="s">
        <v>1067</v>
      </c>
      <c r="B428" s="16" t="s">
        <v>1088</v>
      </c>
      <c r="C428" s="16">
        <v>160</v>
      </c>
      <c r="D42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28" s="16">
        <v>52</v>
      </c>
      <c r="F428" s="16" t="str">
        <f>IF(electric_vehicles_spec_2025_csv[[#This Row],[battery_capacity_kWh]]&lt;=30, "0–30 kWh", IF(electric_vehicles_spec_2025_csv[[#This Row],[battery_capacity_kWh]]&lt;=60, "31–60 kWh", "61+ kWh"))</f>
        <v>31–60 kWh</v>
      </c>
      <c r="G428" s="16" t="s">
        <v>24</v>
      </c>
      <c r="H428" s="16">
        <v>192</v>
      </c>
      <c r="I428" s="16">
        <v>310</v>
      </c>
      <c r="J428" s="16">
        <v>134</v>
      </c>
      <c r="K428" s="16" t="str">
        <f t="shared" si="6"/>
        <v>131–160 Wh/km</v>
      </c>
      <c r="L428" s="16">
        <v>325</v>
      </c>
      <c r="M428" s="16" t="str">
        <f>IF(electric_vehicles_spec_2025_csv[[#This Row],[range_km]]&lt;=200, "0–200 km",IF(electric_vehicles_spec_2025_csv[[#This Row],[range_km]]&lt;=400, "201–400 km", "401+ km"))</f>
        <v>201–400 km</v>
      </c>
      <c r="N428" s="16">
        <v>8.1999999999999993</v>
      </c>
      <c r="O428" s="16" t="str">
        <f>IF(electric_vehicles_spec_2025_csv[[#This Row],[acceleration_0_100_s]]&lt;4,"0–3.9 s",IF(electric_vehicles_spec_2025_csv[[#This Row],[acceleration_0_100_s]]&lt;6,"4.0–5.9 s",IF(electric_vehicles_spec_2025_csv[[#This Row],[acceleration_0_100_s]]&lt;8,"6.0–7.9 s","8.0+ s")))</f>
        <v>8.0+ s</v>
      </c>
      <c r="P428" s="16">
        <v>90</v>
      </c>
      <c r="Q428" s="16" t="str">
        <f>IF(electric_vehicles_spec_2025_csv[[#This Row],[fast_charging_power_kw_dc]]&lt;50,"0–49 kW",IF(electric_vehicles_spec_2025_csv[[#This Row],[fast_charging_power_kw_dc]]&lt;100,"50–99 kW",IF(electric_vehicles_spec_2025_csv[[#This Row],[fast_charging_power_kw_dc]]&lt;150,"100–149 kW","150+ kW")))</f>
        <v>50–99 kW</v>
      </c>
      <c r="R428" s="16" t="s">
        <v>25</v>
      </c>
      <c r="S428" s="16">
        <v>0</v>
      </c>
      <c r="T428" s="16" t="s">
        <v>225</v>
      </c>
      <c r="U428" s="16">
        <v>5</v>
      </c>
      <c r="V428" s="16" t="s">
        <v>63</v>
      </c>
      <c r="W428" s="16" t="s">
        <v>190</v>
      </c>
      <c r="X428" s="16">
        <v>4264</v>
      </c>
      <c r="Y428" s="16">
        <v>1809</v>
      </c>
      <c r="Z428" s="16">
        <v>1564</v>
      </c>
      <c r="AA428" s="16" t="s">
        <v>29</v>
      </c>
      <c r="AB428" s="16" t="s">
        <v>1089</v>
      </c>
    </row>
    <row r="429" spans="1:28" x14ac:dyDescent="0.3">
      <c r="A429" s="16" t="s">
        <v>1067</v>
      </c>
      <c r="B429" s="16" t="s">
        <v>1090</v>
      </c>
      <c r="C429" s="16">
        <v>180</v>
      </c>
      <c r="D42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29" s="16">
        <v>77</v>
      </c>
      <c r="F429" s="16" t="str">
        <f>IF(electric_vehicles_spec_2025_csv[[#This Row],[battery_capacity_kWh]]&lt;=30, "0–30 kWh", IF(electric_vehicles_spec_2025_csv[[#This Row],[battery_capacity_kWh]]&lt;=60, "31–60 kWh", "61+ kWh"))</f>
        <v>61+ kWh</v>
      </c>
      <c r="G429" s="16" t="s">
        <v>24</v>
      </c>
      <c r="H429" s="16">
        <v>288</v>
      </c>
      <c r="I429" s="16">
        <v>679</v>
      </c>
      <c r="J429" s="16">
        <v>152</v>
      </c>
      <c r="K429" s="16" t="str">
        <f t="shared" si="6"/>
        <v>131–160 Wh/km</v>
      </c>
      <c r="L429" s="16">
        <v>420</v>
      </c>
      <c r="M429" s="16" t="str">
        <f>IF(electric_vehicles_spec_2025_csv[[#This Row],[range_km]]&lt;=200, "0–200 km",IF(electric_vehicles_spec_2025_csv[[#This Row],[range_km]]&lt;=400, "201–400 km", "401+ km"))</f>
        <v>401+ km</v>
      </c>
      <c r="N429" s="16">
        <v>5.4</v>
      </c>
      <c r="O429" s="16" t="str">
        <f>IF(electric_vehicles_spec_2025_csv[[#This Row],[acceleration_0_100_s]]&lt;4,"0–3.9 s",IF(electric_vehicles_spec_2025_csv[[#This Row],[acceleration_0_100_s]]&lt;6,"4.0–5.9 s",IF(electric_vehicles_spec_2025_csv[[#This Row],[acceleration_0_100_s]]&lt;8,"6.0–7.9 s","8.0+ s")))</f>
        <v>4.0–5.9 s</v>
      </c>
      <c r="P429" s="16">
        <v>120</v>
      </c>
      <c r="Q429" s="16" t="str">
        <f>IF(electric_vehicles_spec_2025_csv[[#This Row],[fast_charging_power_kw_dc]]&lt;50,"0–49 kW",IF(electric_vehicles_spec_2025_csv[[#This Row],[fast_charging_power_kw_dc]]&lt;100,"50–99 kW",IF(electric_vehicles_spec_2025_csv[[#This Row],[fast_charging_power_kw_dc]]&lt;150,"100–149 kW","150+ kW")))</f>
        <v>100–149 kW</v>
      </c>
      <c r="R429" s="16" t="s">
        <v>25</v>
      </c>
      <c r="S429" s="16">
        <v>1200</v>
      </c>
      <c r="T429" s="16" t="s">
        <v>1091</v>
      </c>
      <c r="U429" s="16">
        <v>5</v>
      </c>
      <c r="V429" s="16" t="s">
        <v>70</v>
      </c>
      <c r="W429" s="16" t="s">
        <v>43</v>
      </c>
      <c r="X429" s="16">
        <v>4584</v>
      </c>
      <c r="Y429" s="16">
        <v>1852</v>
      </c>
      <c r="Z429" s="16">
        <v>1631</v>
      </c>
      <c r="AA429" s="16" t="s">
        <v>36</v>
      </c>
      <c r="AB429" s="16" t="s">
        <v>1092</v>
      </c>
    </row>
    <row r="430" spans="1:28" x14ac:dyDescent="0.3">
      <c r="A430" s="16" t="s">
        <v>1067</v>
      </c>
      <c r="B430" s="16" t="s">
        <v>1093</v>
      </c>
      <c r="C430" s="16">
        <v>180</v>
      </c>
      <c r="D43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0" s="16">
        <v>77</v>
      </c>
      <c r="F430" s="16" t="str">
        <f>IF(electric_vehicles_spec_2025_csv[[#This Row],[battery_capacity_kWh]]&lt;=30, "0–30 kWh", IF(electric_vehicles_spec_2025_csv[[#This Row],[battery_capacity_kWh]]&lt;=60, "31–60 kWh", "61+ kWh"))</f>
        <v>61+ kWh</v>
      </c>
      <c r="G430" s="16" t="s">
        <v>24</v>
      </c>
      <c r="H430" s="16">
        <v>288</v>
      </c>
      <c r="I430" s="16">
        <v>545</v>
      </c>
      <c r="J430" s="16">
        <v>149</v>
      </c>
      <c r="K430" s="16" t="str">
        <f t="shared" si="6"/>
        <v>131–160 Wh/km</v>
      </c>
      <c r="L430" s="16">
        <v>445</v>
      </c>
      <c r="M430" s="16" t="str">
        <f>IF(electric_vehicles_spec_2025_csv[[#This Row],[range_km]]&lt;=200, "0–200 km",IF(electric_vehicles_spec_2025_csv[[#This Row],[range_km]]&lt;=400, "201–400 km", "401+ km"))</f>
        <v>401+ km</v>
      </c>
      <c r="N430" s="16">
        <v>6.7</v>
      </c>
      <c r="O430" s="16" t="str">
        <f>IF(electric_vehicles_spec_2025_csv[[#This Row],[acceleration_0_100_s]]&lt;4,"0–3.9 s",IF(electric_vehicles_spec_2025_csv[[#This Row],[acceleration_0_100_s]]&lt;6,"4.0–5.9 s",IF(electric_vehicles_spec_2025_csv[[#This Row],[acceleration_0_100_s]]&lt;8,"6.0–7.9 s","8.0+ s")))</f>
        <v>6.0–7.9 s</v>
      </c>
      <c r="P430" s="16">
        <v>120</v>
      </c>
      <c r="Q430" s="16" t="str">
        <f>IF(electric_vehicles_spec_2025_csv[[#This Row],[fast_charging_power_kw_dc]]&lt;50,"0–49 kW",IF(electric_vehicles_spec_2025_csv[[#This Row],[fast_charging_power_kw_dc]]&lt;100,"50–99 kW",IF(electric_vehicles_spec_2025_csv[[#This Row],[fast_charging_power_kw_dc]]&lt;150,"100–149 kW","150+ kW")))</f>
        <v>100–149 kW</v>
      </c>
      <c r="R430" s="16" t="s">
        <v>25</v>
      </c>
      <c r="S430" s="16">
        <v>1000</v>
      </c>
      <c r="T430" s="16" t="s">
        <v>1091</v>
      </c>
      <c r="U430" s="16">
        <v>5</v>
      </c>
      <c r="V430" s="16" t="s">
        <v>63</v>
      </c>
      <c r="W430" s="16" t="s">
        <v>43</v>
      </c>
      <c r="X430" s="16">
        <v>4584</v>
      </c>
      <c r="Y430" s="16">
        <v>1852</v>
      </c>
      <c r="Z430" s="16">
        <v>1631</v>
      </c>
      <c r="AA430" s="16" t="s">
        <v>36</v>
      </c>
      <c r="AB430" s="16" t="s">
        <v>1094</v>
      </c>
    </row>
    <row r="431" spans="1:28" x14ac:dyDescent="0.3">
      <c r="A431" s="16" t="s">
        <v>1067</v>
      </c>
      <c r="B431" s="16" t="s">
        <v>1095</v>
      </c>
      <c r="C431" s="16">
        <v>180</v>
      </c>
      <c r="D43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1" s="16">
        <v>77</v>
      </c>
      <c r="F431" s="16" t="str">
        <f>IF(electric_vehicles_spec_2025_csv[[#This Row],[battery_capacity_kWh]]&lt;=30, "0–30 kWh", IF(electric_vehicles_spec_2025_csv[[#This Row],[battery_capacity_kWh]]&lt;=60, "31–60 kWh", "61+ kWh"))</f>
        <v>61+ kWh</v>
      </c>
      <c r="G431" s="16" t="s">
        <v>24</v>
      </c>
      <c r="H431" s="16">
        <v>288</v>
      </c>
      <c r="I431" s="16">
        <v>679</v>
      </c>
      <c r="J431" s="16">
        <v>155</v>
      </c>
      <c r="K431" s="16" t="str">
        <f t="shared" si="6"/>
        <v>131–160 Wh/km</v>
      </c>
      <c r="L431" s="16">
        <v>435</v>
      </c>
      <c r="M431" s="16" t="str">
        <f>IF(electric_vehicles_spec_2025_csv[[#This Row],[range_km]]&lt;=200, "0–200 km",IF(electric_vehicles_spec_2025_csv[[#This Row],[range_km]]&lt;=400, "201–400 km", "401+ km"))</f>
        <v>401+ km</v>
      </c>
      <c r="N431" s="16">
        <v>6.6</v>
      </c>
      <c r="O431" s="16" t="str">
        <f>IF(electric_vehicles_spec_2025_csv[[#This Row],[acceleration_0_100_s]]&lt;4,"0–3.9 s",IF(electric_vehicles_spec_2025_csv[[#This Row],[acceleration_0_100_s]]&lt;6,"4.0–5.9 s",IF(electric_vehicles_spec_2025_csv[[#This Row],[acceleration_0_100_s]]&lt;8,"6.0–7.9 s","8.0+ s")))</f>
        <v>6.0–7.9 s</v>
      </c>
      <c r="P431" s="16">
        <v>120</v>
      </c>
      <c r="Q431" s="16" t="str">
        <f>IF(electric_vehicles_spec_2025_csv[[#This Row],[fast_charging_power_kw_dc]]&lt;50,"0–49 kW",IF(electric_vehicles_spec_2025_csv[[#This Row],[fast_charging_power_kw_dc]]&lt;100,"50–99 kW",IF(electric_vehicles_spec_2025_csv[[#This Row],[fast_charging_power_kw_dc]]&lt;150,"100–149 kW","150+ kW")))</f>
        <v>100–149 kW</v>
      </c>
      <c r="R431" s="16" t="s">
        <v>25</v>
      </c>
      <c r="S431" s="16">
        <v>1200</v>
      </c>
      <c r="T431" s="16" t="s">
        <v>1091</v>
      </c>
      <c r="U431" s="16">
        <v>5</v>
      </c>
      <c r="V431" s="16" t="s">
        <v>70</v>
      </c>
      <c r="W431" s="16" t="s">
        <v>43</v>
      </c>
      <c r="X431" s="16">
        <v>4584</v>
      </c>
      <c r="Y431" s="16">
        <v>1852</v>
      </c>
      <c r="Z431" s="16">
        <v>1631</v>
      </c>
      <c r="AA431" s="16" t="s">
        <v>36</v>
      </c>
      <c r="AB431" s="16" t="s">
        <v>1096</v>
      </c>
    </row>
    <row r="432" spans="1:28" x14ac:dyDescent="0.3">
      <c r="A432" s="16" t="s">
        <v>1067</v>
      </c>
      <c r="B432" s="16" t="s">
        <v>1097</v>
      </c>
      <c r="C432" s="16">
        <v>160</v>
      </c>
      <c r="D43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32" s="16">
        <v>52</v>
      </c>
      <c r="F432" s="16" t="str">
        <f>IF(electric_vehicles_spec_2025_csv[[#This Row],[battery_capacity_kWh]]&lt;=30, "0–30 kWh", IF(electric_vehicles_spec_2025_csv[[#This Row],[battery_capacity_kWh]]&lt;=60, "31–60 kWh", "61+ kWh"))</f>
        <v>31–60 kWh</v>
      </c>
      <c r="G432" s="16" t="s">
        <v>24</v>
      </c>
      <c r="H432" s="16">
        <v>192</v>
      </c>
      <c r="I432" s="16">
        <v>310</v>
      </c>
      <c r="J432" s="16">
        <v>143</v>
      </c>
      <c r="K432" s="16" t="str">
        <f t="shared" si="6"/>
        <v>131–160 Wh/km</v>
      </c>
      <c r="L432" s="16">
        <v>285</v>
      </c>
      <c r="M432" s="16" t="str">
        <f>IF(electric_vehicles_spec_2025_csv[[#This Row],[range_km]]&lt;=200, "0–200 km",IF(electric_vehicles_spec_2025_csv[[#This Row],[range_km]]&lt;=400, "201–400 km", "401+ km"))</f>
        <v>201–400 km</v>
      </c>
      <c r="N432" s="16">
        <v>9</v>
      </c>
      <c r="O432" s="16" t="str">
        <f>IF(electric_vehicles_spec_2025_csv[[#This Row],[acceleration_0_100_s]]&lt;4,"0–3.9 s",IF(electric_vehicles_spec_2025_csv[[#This Row],[acceleration_0_100_s]]&lt;6,"4.0–5.9 s",IF(electric_vehicles_spec_2025_csv[[#This Row],[acceleration_0_100_s]]&lt;8,"6.0–7.9 s","8.0+ s")))</f>
        <v>8.0+ s</v>
      </c>
      <c r="P432" s="16">
        <v>87</v>
      </c>
      <c r="Q432" s="16" t="str">
        <f>IF(electric_vehicles_spec_2025_csv[[#This Row],[fast_charging_power_kw_dc]]&lt;50,"0–49 kW",IF(electric_vehicles_spec_2025_csv[[#This Row],[fast_charging_power_kw_dc]]&lt;100,"50–99 kW",IF(electric_vehicles_spec_2025_csv[[#This Row],[fast_charging_power_kw_dc]]&lt;150,"100–149 kW","150+ kW")))</f>
        <v>50–99 kW</v>
      </c>
      <c r="R432" s="16" t="s">
        <v>25</v>
      </c>
      <c r="S432" s="16">
        <v>1000</v>
      </c>
      <c r="T432" s="16" t="s">
        <v>1091</v>
      </c>
      <c r="U432" s="16">
        <v>5</v>
      </c>
      <c r="V432" s="16" t="s">
        <v>63</v>
      </c>
      <c r="W432" s="16" t="s">
        <v>43</v>
      </c>
      <c r="X432" s="16">
        <v>4584</v>
      </c>
      <c r="Y432" s="16">
        <v>1852</v>
      </c>
      <c r="Z432" s="16">
        <v>1640</v>
      </c>
      <c r="AA432" s="16" t="s">
        <v>36</v>
      </c>
      <c r="AB432" s="16" t="s">
        <v>1098</v>
      </c>
    </row>
    <row r="433" spans="1:28" x14ac:dyDescent="0.3">
      <c r="A433" s="16" t="s">
        <v>1067</v>
      </c>
      <c r="B433" s="16" t="s">
        <v>1099</v>
      </c>
      <c r="C433" s="16">
        <v>180</v>
      </c>
      <c r="D43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3" s="16">
        <v>77</v>
      </c>
      <c r="F433" s="16" t="str">
        <f>IF(electric_vehicles_spec_2025_csv[[#This Row],[battery_capacity_kWh]]&lt;=30, "0–30 kWh", IF(electric_vehicles_spec_2025_csv[[#This Row],[battery_capacity_kWh]]&lt;=60, "31–60 kWh", "61+ kWh"))</f>
        <v>61+ kWh</v>
      </c>
      <c r="G433" s="16" t="s">
        <v>24</v>
      </c>
      <c r="H433" s="16">
        <v>288</v>
      </c>
      <c r="I433" s="16">
        <v>679</v>
      </c>
      <c r="J433" s="16">
        <v>144</v>
      </c>
      <c r="K433" s="16" t="str">
        <f t="shared" si="6"/>
        <v>131–160 Wh/km</v>
      </c>
      <c r="L433" s="16">
        <v>430</v>
      </c>
      <c r="M433" s="16" t="str">
        <f>IF(electric_vehicles_spec_2025_csv[[#This Row],[range_km]]&lt;=200, "0–200 km",IF(electric_vehicles_spec_2025_csv[[#This Row],[range_km]]&lt;=400, "201–400 km", "401+ km"))</f>
        <v>401+ km</v>
      </c>
      <c r="N433" s="16">
        <v>5.5</v>
      </c>
      <c r="O433" s="16" t="str">
        <f>IF(electric_vehicles_spec_2025_csv[[#This Row],[acceleration_0_100_s]]&lt;4,"0–3.9 s",IF(electric_vehicles_spec_2025_csv[[#This Row],[acceleration_0_100_s]]&lt;6,"4.0–5.9 s",IF(electric_vehicles_spec_2025_csv[[#This Row],[acceleration_0_100_s]]&lt;8,"6.0–7.9 s","8.0+ s")))</f>
        <v>4.0–5.9 s</v>
      </c>
      <c r="P433" s="16">
        <v>120</v>
      </c>
      <c r="Q433" s="16" t="str">
        <f>IF(electric_vehicles_spec_2025_csv[[#This Row],[fast_charging_power_kw_dc]]&lt;50,"0–49 kW",IF(electric_vehicles_spec_2025_csv[[#This Row],[fast_charging_power_kw_dc]]&lt;100,"50–99 kW",IF(electric_vehicles_spec_2025_csv[[#This Row],[fast_charging_power_kw_dc]]&lt;150,"100–149 kW","150+ kW")))</f>
        <v>100–149 kW</v>
      </c>
      <c r="R433" s="16" t="s">
        <v>25</v>
      </c>
      <c r="S433" s="16">
        <v>1200</v>
      </c>
      <c r="T433" s="16" t="s">
        <v>1100</v>
      </c>
      <c r="U433" s="16">
        <v>5</v>
      </c>
      <c r="V433" s="16" t="s">
        <v>70</v>
      </c>
      <c r="W433" s="16" t="s">
        <v>43</v>
      </c>
      <c r="X433" s="16">
        <v>4599</v>
      </c>
      <c r="Y433" s="16">
        <v>1852</v>
      </c>
      <c r="Z433" s="16">
        <v>1615</v>
      </c>
      <c r="AA433" s="16" t="s">
        <v>36</v>
      </c>
      <c r="AB433" s="16" t="s">
        <v>1101</v>
      </c>
    </row>
    <row r="434" spans="1:28" x14ac:dyDescent="0.3">
      <c r="A434" s="16" t="s">
        <v>1067</v>
      </c>
      <c r="B434" s="16" t="s">
        <v>1102</v>
      </c>
      <c r="C434" s="16">
        <v>180</v>
      </c>
      <c r="D43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4" s="16">
        <v>77</v>
      </c>
      <c r="F434" s="16" t="str">
        <f>IF(electric_vehicles_spec_2025_csv[[#This Row],[battery_capacity_kWh]]&lt;=30, "0–30 kWh", IF(electric_vehicles_spec_2025_csv[[#This Row],[battery_capacity_kWh]]&lt;=60, "31–60 kWh", "61+ kWh"))</f>
        <v>61+ kWh</v>
      </c>
      <c r="G434" s="16" t="s">
        <v>24</v>
      </c>
      <c r="H434" s="16">
        <v>288</v>
      </c>
      <c r="I434" s="16">
        <v>545</v>
      </c>
      <c r="J434" s="16">
        <v>138</v>
      </c>
      <c r="K434" s="16" t="str">
        <f t="shared" si="6"/>
        <v>131–160 Wh/km</v>
      </c>
      <c r="L434" s="16">
        <v>460</v>
      </c>
      <c r="M434" s="16" t="str">
        <f>IF(electric_vehicles_spec_2025_csv[[#This Row],[range_km]]&lt;=200, "0–200 km",IF(electric_vehicles_spec_2025_csv[[#This Row],[range_km]]&lt;=400, "201–400 km", "401+ km"))</f>
        <v>401+ km</v>
      </c>
      <c r="N434" s="16">
        <v>6.7</v>
      </c>
      <c r="O434" s="16" t="str">
        <f>IF(electric_vehicles_spec_2025_csv[[#This Row],[acceleration_0_100_s]]&lt;4,"0–3.9 s",IF(electric_vehicles_spec_2025_csv[[#This Row],[acceleration_0_100_s]]&lt;6,"4.0–5.9 s",IF(electric_vehicles_spec_2025_csv[[#This Row],[acceleration_0_100_s]]&lt;8,"6.0–7.9 s","8.0+ s")))</f>
        <v>6.0–7.9 s</v>
      </c>
      <c r="P434" s="16">
        <v>120</v>
      </c>
      <c r="Q434" s="16" t="str">
        <f>IF(electric_vehicles_spec_2025_csv[[#This Row],[fast_charging_power_kw_dc]]&lt;50,"0–49 kW",IF(electric_vehicles_spec_2025_csv[[#This Row],[fast_charging_power_kw_dc]]&lt;100,"50–99 kW",IF(electric_vehicles_spec_2025_csv[[#This Row],[fast_charging_power_kw_dc]]&lt;150,"100–149 kW","150+ kW")))</f>
        <v>100–149 kW</v>
      </c>
      <c r="R434" s="16" t="s">
        <v>25</v>
      </c>
      <c r="S434" s="16">
        <v>1000</v>
      </c>
      <c r="T434" s="16" t="s">
        <v>1100</v>
      </c>
      <c r="U434" s="16">
        <v>5</v>
      </c>
      <c r="V434" s="16" t="s">
        <v>63</v>
      </c>
      <c r="W434" s="16" t="s">
        <v>43</v>
      </c>
      <c r="X434" s="16">
        <v>4599</v>
      </c>
      <c r="Y434" s="16">
        <v>1852</v>
      </c>
      <c r="Z434" s="16">
        <v>1615</v>
      </c>
      <c r="AA434" s="16" t="s">
        <v>36</v>
      </c>
      <c r="AB434" s="16" t="s">
        <v>1103</v>
      </c>
    </row>
    <row r="435" spans="1:28" x14ac:dyDescent="0.3">
      <c r="A435" s="16" t="s">
        <v>1067</v>
      </c>
      <c r="B435" s="16" t="s">
        <v>1104</v>
      </c>
      <c r="C435" s="16">
        <v>160</v>
      </c>
      <c r="D43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35" s="16">
        <v>52</v>
      </c>
      <c r="F435" s="16" t="str">
        <f>IF(electric_vehicles_spec_2025_csv[[#This Row],[battery_capacity_kWh]]&lt;=30, "0–30 kWh", IF(electric_vehicles_spec_2025_csv[[#This Row],[battery_capacity_kWh]]&lt;=60, "31–60 kWh", "61+ kWh"))</f>
        <v>31–60 kWh</v>
      </c>
      <c r="G435" s="16" t="s">
        <v>24</v>
      </c>
      <c r="H435" s="16">
        <v>288</v>
      </c>
      <c r="I435" s="16">
        <v>310</v>
      </c>
      <c r="J435" s="16">
        <v>142</v>
      </c>
      <c r="K435" s="16" t="str">
        <f t="shared" si="6"/>
        <v>131–160 Wh/km</v>
      </c>
      <c r="L435" s="16">
        <v>320</v>
      </c>
      <c r="M435" s="16" t="str">
        <f>IF(electric_vehicles_spec_2025_csv[[#This Row],[range_km]]&lt;=200, "0–200 km",IF(electric_vehicles_spec_2025_csv[[#This Row],[range_km]]&lt;=400, "201–400 km", "401+ km"))</f>
        <v>201–400 km</v>
      </c>
      <c r="N435" s="16">
        <v>8.9</v>
      </c>
      <c r="O435" s="16" t="str">
        <f>IF(electric_vehicles_spec_2025_csv[[#This Row],[acceleration_0_100_s]]&lt;4,"0–3.9 s",IF(electric_vehicles_spec_2025_csv[[#This Row],[acceleration_0_100_s]]&lt;6,"4.0–5.9 s",IF(electric_vehicles_spec_2025_csv[[#This Row],[acceleration_0_100_s]]&lt;8,"6.0–7.9 s","8.0+ s")))</f>
        <v>8.0+ s</v>
      </c>
      <c r="P435" s="16">
        <v>87</v>
      </c>
      <c r="Q435" s="16" t="str">
        <f>IF(electric_vehicles_spec_2025_csv[[#This Row],[fast_charging_power_kw_dc]]&lt;50,"0–49 kW",IF(electric_vehicles_spec_2025_csv[[#This Row],[fast_charging_power_kw_dc]]&lt;100,"50–99 kW",IF(electric_vehicles_spec_2025_csv[[#This Row],[fast_charging_power_kw_dc]]&lt;150,"100–149 kW","150+ kW")))</f>
        <v>50–99 kW</v>
      </c>
      <c r="R435" s="16" t="s">
        <v>25</v>
      </c>
      <c r="S435" s="16">
        <v>1000</v>
      </c>
      <c r="T435" s="16" t="s">
        <v>1100</v>
      </c>
      <c r="U435" s="16">
        <v>5</v>
      </c>
      <c r="V435" s="16" t="s">
        <v>63</v>
      </c>
      <c r="W435" s="16" t="s">
        <v>43</v>
      </c>
      <c r="X435" s="16">
        <v>4599</v>
      </c>
      <c r="Y435" s="16">
        <v>1852</v>
      </c>
      <c r="Z435" s="16">
        <v>1615</v>
      </c>
      <c r="AA435" s="16" t="s">
        <v>36</v>
      </c>
      <c r="AB435" s="16" t="s">
        <v>1105</v>
      </c>
    </row>
    <row r="436" spans="1:28" x14ac:dyDescent="0.3">
      <c r="A436" s="16" t="s">
        <v>1067</v>
      </c>
      <c r="B436" s="16" t="s">
        <v>1106</v>
      </c>
      <c r="C436" s="16">
        <v>180</v>
      </c>
      <c r="D43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6" s="16">
        <v>86</v>
      </c>
      <c r="F436" s="16" t="str">
        <f>IF(electric_vehicles_spec_2025_csv[[#This Row],[battery_capacity_kWh]]&lt;=30, "0–30 kWh", IF(electric_vehicles_spec_2025_csv[[#This Row],[battery_capacity_kWh]]&lt;=60, "31–60 kWh", "61+ kWh"))</f>
        <v>61+ kWh</v>
      </c>
      <c r="G436" s="16" t="s">
        <v>24</v>
      </c>
      <c r="H436" s="16">
        <v>312</v>
      </c>
      <c r="I436" s="16">
        <v>560</v>
      </c>
      <c r="J436" s="16">
        <v>145</v>
      </c>
      <c r="K436" s="16" t="str">
        <f t="shared" si="6"/>
        <v>131–160 Wh/km</v>
      </c>
      <c r="L436" s="16">
        <v>500</v>
      </c>
      <c r="M436" s="16" t="str">
        <f>IF(electric_vehicles_spec_2025_csv[[#This Row],[range_km]]&lt;=200, "0–200 km",IF(electric_vehicles_spec_2025_csv[[#This Row],[range_km]]&lt;=400, "201–400 km", "401+ km"))</f>
        <v>401+ km</v>
      </c>
      <c r="N436" s="16">
        <v>5.4</v>
      </c>
      <c r="O436" s="16" t="str">
        <f>IF(electric_vehicles_spec_2025_csv[[#This Row],[acceleration_0_100_s]]&lt;4,"0–3.9 s",IF(electric_vehicles_spec_2025_csv[[#This Row],[acceleration_0_100_s]]&lt;6,"4.0–5.9 s",IF(electric_vehicles_spec_2025_csv[[#This Row],[acceleration_0_100_s]]&lt;8,"6.0–7.9 s","8.0+ s")))</f>
        <v>4.0–5.9 s</v>
      </c>
      <c r="P436" s="16">
        <v>145</v>
      </c>
      <c r="Q436" s="16" t="str">
        <f>IF(electric_vehicles_spec_2025_csv[[#This Row],[fast_charging_power_kw_dc]]&lt;50,"0–49 kW",IF(electric_vehicles_spec_2025_csv[[#This Row],[fast_charging_power_kw_dc]]&lt;100,"50–99 kW",IF(electric_vehicles_spec_2025_csv[[#This Row],[fast_charging_power_kw_dc]]&lt;150,"100–149 kW","150+ kW")))</f>
        <v>100–149 kW</v>
      </c>
      <c r="R436" s="16" t="s">
        <v>25</v>
      </c>
      <c r="S436" s="16">
        <v>1200</v>
      </c>
      <c r="T436" s="16" t="s">
        <v>1107</v>
      </c>
      <c r="U436" s="16">
        <v>5</v>
      </c>
      <c r="V436" s="16" t="s">
        <v>70</v>
      </c>
      <c r="W436" s="16" t="s">
        <v>147</v>
      </c>
      <c r="X436" s="16">
        <v>4961</v>
      </c>
      <c r="Y436" s="16">
        <v>1862</v>
      </c>
      <c r="Z436" s="16">
        <v>1536</v>
      </c>
      <c r="AA436" s="16" t="s">
        <v>73</v>
      </c>
      <c r="AB436" s="16" t="s">
        <v>1108</v>
      </c>
    </row>
    <row r="437" spans="1:28" x14ac:dyDescent="0.3">
      <c r="A437" s="16" t="s">
        <v>1067</v>
      </c>
      <c r="B437" s="16" t="s">
        <v>1109</v>
      </c>
      <c r="C437" s="16">
        <v>180</v>
      </c>
      <c r="D43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7" s="16">
        <v>77</v>
      </c>
      <c r="F437" s="16" t="str">
        <f>IF(electric_vehicles_spec_2025_csv[[#This Row],[battery_capacity_kWh]]&lt;=30, "0–30 kWh", IF(electric_vehicles_spec_2025_csv[[#This Row],[battery_capacity_kWh]]&lt;=60, "31–60 kWh", "61+ kWh"))</f>
        <v>61+ kWh</v>
      </c>
      <c r="G437" s="16" t="s">
        <v>24</v>
      </c>
      <c r="H437" s="16">
        <v>288</v>
      </c>
      <c r="I437" s="16">
        <v>550</v>
      </c>
      <c r="J437" s="16">
        <v>132</v>
      </c>
      <c r="K437" s="16" t="str">
        <f t="shared" si="6"/>
        <v>131–160 Wh/km</v>
      </c>
      <c r="L437" s="16">
        <v>475</v>
      </c>
      <c r="M437" s="16" t="str">
        <f>IF(electric_vehicles_spec_2025_csv[[#This Row],[range_km]]&lt;=200, "0–200 km",IF(electric_vehicles_spec_2025_csv[[#This Row],[range_km]]&lt;=400, "201–400 km", "401+ km"))</f>
        <v>401+ km</v>
      </c>
      <c r="N437" s="16">
        <v>6.5</v>
      </c>
      <c r="O437" s="16" t="str">
        <f>IF(electric_vehicles_spec_2025_csv[[#This Row],[acceleration_0_100_s]]&lt;4,"0–3.9 s",IF(electric_vehicles_spec_2025_csv[[#This Row],[acceleration_0_100_s]]&lt;6,"4.0–5.9 s",IF(electric_vehicles_spec_2025_csv[[#This Row],[acceleration_0_100_s]]&lt;8,"6.0–7.9 s","8.0+ s")))</f>
        <v>6.0–7.9 s</v>
      </c>
      <c r="P437" s="16">
        <v>125</v>
      </c>
      <c r="Q437" s="16" t="str">
        <f>IF(electric_vehicles_spec_2025_csv[[#This Row],[fast_charging_power_kw_dc]]&lt;50,"0–49 kW",IF(electric_vehicles_spec_2025_csv[[#This Row],[fast_charging_power_kw_dc]]&lt;100,"50–99 kW",IF(electric_vehicles_spec_2025_csv[[#This Row],[fast_charging_power_kw_dc]]&lt;150,"100–149 kW","150+ kW")))</f>
        <v>100–149 kW</v>
      </c>
      <c r="R437" s="16" t="s">
        <v>25</v>
      </c>
      <c r="S437" s="16">
        <v>1000</v>
      </c>
      <c r="T437" s="16" t="s">
        <v>1107</v>
      </c>
      <c r="U437" s="16">
        <v>5</v>
      </c>
      <c r="V437" s="16" t="s">
        <v>63</v>
      </c>
      <c r="W437" s="16" t="s">
        <v>147</v>
      </c>
      <c r="X437" s="16">
        <v>4961</v>
      </c>
      <c r="Y437" s="16">
        <v>1862</v>
      </c>
      <c r="Z437" s="16">
        <v>1536</v>
      </c>
      <c r="AA437" s="16" t="s">
        <v>73</v>
      </c>
      <c r="AB437" s="16" t="s">
        <v>1110</v>
      </c>
    </row>
    <row r="438" spans="1:28" x14ac:dyDescent="0.3">
      <c r="A438" s="16" t="s">
        <v>1067</v>
      </c>
      <c r="B438" s="16" t="s">
        <v>1111</v>
      </c>
      <c r="C438" s="16">
        <v>180</v>
      </c>
      <c r="D43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8" s="16">
        <v>86</v>
      </c>
      <c r="F438" s="16" t="str">
        <f>IF(electric_vehicles_spec_2025_csv[[#This Row],[battery_capacity_kWh]]&lt;=30, "0–30 kWh", IF(electric_vehicles_spec_2025_csv[[#This Row],[battery_capacity_kWh]]&lt;=60, "31–60 kWh", "61+ kWh"))</f>
        <v>61+ kWh</v>
      </c>
      <c r="G438" s="16" t="s">
        <v>24</v>
      </c>
      <c r="H438" s="16">
        <v>312</v>
      </c>
      <c r="I438" s="16">
        <v>550</v>
      </c>
      <c r="J438" s="16">
        <v>133</v>
      </c>
      <c r="K438" s="16" t="str">
        <f t="shared" si="6"/>
        <v>131–160 Wh/km</v>
      </c>
      <c r="L438" s="16">
        <v>525</v>
      </c>
      <c r="M438" s="16" t="str">
        <f>IF(electric_vehicles_spec_2025_csv[[#This Row],[range_km]]&lt;=200, "0–200 km",IF(electric_vehicles_spec_2025_csv[[#This Row],[range_km]]&lt;=400, "201–400 km", "401+ km"))</f>
        <v>401+ km</v>
      </c>
      <c r="N438" s="16">
        <v>6.6</v>
      </c>
      <c r="O438" s="16" t="str">
        <f>IF(electric_vehicles_spec_2025_csv[[#This Row],[acceleration_0_100_s]]&lt;4,"0–3.9 s",IF(electric_vehicles_spec_2025_csv[[#This Row],[acceleration_0_100_s]]&lt;6,"4.0–5.9 s",IF(electric_vehicles_spec_2025_csv[[#This Row],[acceleration_0_100_s]]&lt;8,"6.0–7.9 s","8.0+ s")))</f>
        <v>6.0–7.9 s</v>
      </c>
      <c r="P438" s="16">
        <v>145</v>
      </c>
      <c r="Q438" s="16" t="str">
        <f>IF(electric_vehicles_spec_2025_csv[[#This Row],[fast_charging_power_kw_dc]]&lt;50,"0–49 kW",IF(electric_vehicles_spec_2025_csv[[#This Row],[fast_charging_power_kw_dc]]&lt;100,"50–99 kW",IF(electric_vehicles_spec_2025_csv[[#This Row],[fast_charging_power_kw_dc]]&lt;150,"100–149 kW","150+ kW")))</f>
        <v>100–149 kW</v>
      </c>
      <c r="R438" s="16" t="s">
        <v>25</v>
      </c>
      <c r="S438" s="16">
        <v>1000</v>
      </c>
      <c r="T438" s="16" t="s">
        <v>1107</v>
      </c>
      <c r="U438" s="16">
        <v>5</v>
      </c>
      <c r="V438" s="16" t="s">
        <v>63</v>
      </c>
      <c r="W438" s="16" t="s">
        <v>147</v>
      </c>
      <c r="X438" s="16">
        <v>4961</v>
      </c>
      <c r="Y438" s="16">
        <v>1862</v>
      </c>
      <c r="Z438" s="16">
        <v>1536</v>
      </c>
      <c r="AA438" s="16" t="s">
        <v>73</v>
      </c>
      <c r="AB438" s="16" t="s">
        <v>1112</v>
      </c>
    </row>
    <row r="439" spans="1:28" x14ac:dyDescent="0.3">
      <c r="A439" s="16" t="s">
        <v>1067</v>
      </c>
      <c r="B439" s="16" t="s">
        <v>1113</v>
      </c>
      <c r="C439" s="16">
        <v>180</v>
      </c>
      <c r="D43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39" s="16">
        <v>86</v>
      </c>
      <c r="F439" s="16" t="str">
        <f>IF(electric_vehicles_spec_2025_csv[[#This Row],[battery_capacity_kWh]]&lt;=30, "0–30 kWh", IF(electric_vehicles_spec_2025_csv[[#This Row],[battery_capacity_kWh]]&lt;=60, "31–60 kWh", "61+ kWh"))</f>
        <v>61+ kWh</v>
      </c>
      <c r="G439" s="16" t="s">
        <v>24</v>
      </c>
      <c r="H439" s="16">
        <v>312</v>
      </c>
      <c r="I439" s="16">
        <v>560</v>
      </c>
      <c r="J439" s="16">
        <v>147</v>
      </c>
      <c r="K439" s="16" t="str">
        <f t="shared" si="6"/>
        <v>131–160 Wh/km</v>
      </c>
      <c r="L439" s="16">
        <v>500</v>
      </c>
      <c r="M439" s="16" t="str">
        <f>IF(electric_vehicles_spec_2025_csv[[#This Row],[range_km]]&lt;=200, "0–200 km",IF(electric_vehicles_spec_2025_csv[[#This Row],[range_km]]&lt;=400, "201–400 km", "401+ km"))</f>
        <v>401+ km</v>
      </c>
      <c r="N439" s="16">
        <v>5.5</v>
      </c>
      <c r="O439" s="16" t="str">
        <f>IF(electric_vehicles_spec_2025_csv[[#This Row],[acceleration_0_100_s]]&lt;4,"0–3.9 s",IF(electric_vehicles_spec_2025_csv[[#This Row],[acceleration_0_100_s]]&lt;6,"4.0–5.9 s",IF(electric_vehicles_spec_2025_csv[[#This Row],[acceleration_0_100_s]]&lt;8,"6.0–7.9 s","8.0+ s")))</f>
        <v>4.0–5.9 s</v>
      </c>
      <c r="P439" s="16">
        <v>145</v>
      </c>
      <c r="Q439" s="16" t="str">
        <f>IF(electric_vehicles_spec_2025_csv[[#This Row],[fast_charging_power_kw_dc]]&lt;50,"0–49 kW",IF(electric_vehicles_spec_2025_csv[[#This Row],[fast_charging_power_kw_dc]]&lt;100,"50–99 kW",IF(electric_vehicles_spec_2025_csv[[#This Row],[fast_charging_power_kw_dc]]&lt;150,"100–149 kW","150+ kW")))</f>
        <v>100–149 kW</v>
      </c>
      <c r="R439" s="16" t="s">
        <v>25</v>
      </c>
      <c r="S439" s="16">
        <v>1200</v>
      </c>
      <c r="T439" s="16" t="s">
        <v>1114</v>
      </c>
      <c r="U439" s="16">
        <v>5</v>
      </c>
      <c r="V439" s="16" t="s">
        <v>70</v>
      </c>
      <c r="W439" s="16" t="s">
        <v>147</v>
      </c>
      <c r="X439" s="16">
        <v>4961</v>
      </c>
      <c r="Y439" s="16">
        <v>1862</v>
      </c>
      <c r="Z439" s="16">
        <v>1536</v>
      </c>
      <c r="AA439" s="16" t="s">
        <v>65</v>
      </c>
      <c r="AB439" s="16" t="s">
        <v>1115</v>
      </c>
    </row>
    <row r="440" spans="1:28" x14ac:dyDescent="0.3">
      <c r="A440" s="16" t="s">
        <v>1067</v>
      </c>
      <c r="B440" s="16" t="s">
        <v>1116</v>
      </c>
      <c r="C440" s="16">
        <v>180</v>
      </c>
      <c r="D44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0" s="16">
        <v>77</v>
      </c>
      <c r="F440" s="16" t="str">
        <f>IF(electric_vehicles_spec_2025_csv[[#This Row],[battery_capacity_kWh]]&lt;=30, "0–30 kWh", IF(electric_vehicles_spec_2025_csv[[#This Row],[battery_capacity_kWh]]&lt;=60, "31–60 kWh", "61+ kWh"))</f>
        <v>61+ kWh</v>
      </c>
      <c r="G440" s="16" t="s">
        <v>24</v>
      </c>
      <c r="H440" s="16">
        <v>288</v>
      </c>
      <c r="I440" s="16">
        <v>550</v>
      </c>
      <c r="J440" s="16">
        <v>146</v>
      </c>
      <c r="K440" s="16" t="str">
        <f t="shared" si="6"/>
        <v>131–160 Wh/km</v>
      </c>
      <c r="L440" s="16">
        <v>470</v>
      </c>
      <c r="M440" s="16" t="str">
        <f>IF(electric_vehicles_spec_2025_csv[[#This Row],[range_km]]&lt;=200, "0–200 km",IF(electric_vehicles_spec_2025_csv[[#This Row],[range_km]]&lt;=400, "201–400 km", "401+ km"))</f>
        <v>401+ km</v>
      </c>
      <c r="N440" s="16">
        <v>6.6</v>
      </c>
      <c r="O440" s="16" t="str">
        <f>IF(electric_vehicles_spec_2025_csv[[#This Row],[acceleration_0_100_s]]&lt;4,"0–3.9 s",IF(electric_vehicles_spec_2025_csv[[#This Row],[acceleration_0_100_s]]&lt;6,"4.0–5.9 s",IF(electric_vehicles_spec_2025_csv[[#This Row],[acceleration_0_100_s]]&lt;8,"6.0–7.9 s","8.0+ s")))</f>
        <v>6.0–7.9 s</v>
      </c>
      <c r="P440" s="16">
        <v>125</v>
      </c>
      <c r="Q440" s="16" t="str">
        <f>IF(electric_vehicles_spec_2025_csv[[#This Row],[fast_charging_power_kw_dc]]&lt;50,"0–49 kW",IF(electric_vehicles_spec_2025_csv[[#This Row],[fast_charging_power_kw_dc]]&lt;100,"50–99 kW",IF(electric_vehicles_spec_2025_csv[[#This Row],[fast_charging_power_kw_dc]]&lt;150,"100–149 kW","150+ kW")))</f>
        <v>100–149 kW</v>
      </c>
      <c r="R440" s="16" t="s">
        <v>25</v>
      </c>
      <c r="S440" s="16">
        <v>1000</v>
      </c>
      <c r="T440" s="16" t="s">
        <v>1114</v>
      </c>
      <c r="U440" s="16">
        <v>5</v>
      </c>
      <c r="V440" s="16" t="s">
        <v>63</v>
      </c>
      <c r="W440" s="16" t="s">
        <v>147</v>
      </c>
      <c r="X440" s="16">
        <v>4961</v>
      </c>
      <c r="Y440" s="16">
        <v>1862</v>
      </c>
      <c r="Z440" s="16">
        <v>1536</v>
      </c>
      <c r="AA440" s="16" t="s">
        <v>65</v>
      </c>
      <c r="AB440" s="16" t="s">
        <v>1117</v>
      </c>
    </row>
    <row r="441" spans="1:28" x14ac:dyDescent="0.3">
      <c r="A441" s="16" t="s">
        <v>1067</v>
      </c>
      <c r="B441" s="16" t="s">
        <v>1118</v>
      </c>
      <c r="C441" s="16">
        <v>180</v>
      </c>
      <c r="D44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1" s="16">
        <v>86</v>
      </c>
      <c r="F441" s="16" t="str">
        <f>IF(electric_vehicles_spec_2025_csv[[#This Row],[battery_capacity_kWh]]&lt;=30, "0–30 kWh", IF(electric_vehicles_spec_2025_csv[[#This Row],[battery_capacity_kWh]]&lt;=60, "31–60 kWh", "61+ kWh"))</f>
        <v>61+ kWh</v>
      </c>
      <c r="G441" s="16" t="s">
        <v>24</v>
      </c>
      <c r="H441" s="16">
        <v>312</v>
      </c>
      <c r="I441" s="16">
        <v>550</v>
      </c>
      <c r="J441" s="16">
        <v>125</v>
      </c>
      <c r="K441" s="16" t="str">
        <f t="shared" si="6"/>
        <v>0–130 Wh/km</v>
      </c>
      <c r="L441" s="16">
        <v>520</v>
      </c>
      <c r="M441" s="16" t="str">
        <f>IF(electric_vehicles_spec_2025_csv[[#This Row],[range_km]]&lt;=200, "0–200 km",IF(electric_vehicles_spec_2025_csv[[#This Row],[range_km]]&lt;=400, "201–400 km", "401+ km"))</f>
        <v>401+ km</v>
      </c>
      <c r="N441" s="16">
        <v>6.7</v>
      </c>
      <c r="O441" s="16" t="str">
        <f>IF(electric_vehicles_spec_2025_csv[[#This Row],[acceleration_0_100_s]]&lt;4,"0–3.9 s",IF(electric_vehicles_spec_2025_csv[[#This Row],[acceleration_0_100_s]]&lt;6,"4.0–5.9 s",IF(electric_vehicles_spec_2025_csv[[#This Row],[acceleration_0_100_s]]&lt;8,"6.0–7.9 s","8.0+ s")))</f>
        <v>6.0–7.9 s</v>
      </c>
      <c r="P441" s="16">
        <v>145</v>
      </c>
      <c r="Q441" s="16" t="str">
        <f>IF(electric_vehicles_spec_2025_csv[[#This Row],[fast_charging_power_kw_dc]]&lt;50,"0–49 kW",IF(electric_vehicles_spec_2025_csv[[#This Row],[fast_charging_power_kw_dc]]&lt;100,"50–99 kW",IF(electric_vehicles_spec_2025_csv[[#This Row],[fast_charging_power_kw_dc]]&lt;150,"100–149 kW","150+ kW")))</f>
        <v>100–149 kW</v>
      </c>
      <c r="R441" s="16" t="s">
        <v>25</v>
      </c>
      <c r="S441" s="16">
        <v>1000</v>
      </c>
      <c r="T441" s="16" t="s">
        <v>1114</v>
      </c>
      <c r="U441" s="16">
        <v>5</v>
      </c>
      <c r="V441" s="16" t="s">
        <v>63</v>
      </c>
      <c r="W441" s="16" t="s">
        <v>147</v>
      </c>
      <c r="X441" s="16">
        <v>4961</v>
      </c>
      <c r="Y441" s="16">
        <v>1862</v>
      </c>
      <c r="Z441" s="16">
        <v>1536</v>
      </c>
      <c r="AA441" s="16" t="s">
        <v>65</v>
      </c>
      <c r="AB441" s="16" t="s">
        <v>1119</v>
      </c>
    </row>
    <row r="442" spans="1:28" x14ac:dyDescent="0.3">
      <c r="A442" s="16" t="s">
        <v>1120</v>
      </c>
      <c r="B442" s="16" t="s">
        <v>1121</v>
      </c>
      <c r="C442" s="16">
        <v>180</v>
      </c>
      <c r="D44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2" s="16">
        <v>67</v>
      </c>
      <c r="F442" s="16" t="str">
        <f>IF(electric_vehicles_spec_2025_csv[[#This Row],[battery_capacity_kWh]]&lt;=30, "0–30 kWh", IF(electric_vehicles_spec_2025_csv[[#This Row],[battery_capacity_kWh]]&lt;=60, "31–60 kWh", "61+ kWh"))</f>
        <v>61+ kWh</v>
      </c>
      <c r="G442" s="16" t="s">
        <v>24</v>
      </c>
      <c r="H442" s="16"/>
      <c r="I442" s="16">
        <v>420</v>
      </c>
      <c r="J442" s="16">
        <v>151</v>
      </c>
      <c r="K442" s="16" t="str">
        <f t="shared" si="6"/>
        <v>131–160 Wh/km</v>
      </c>
      <c r="L442" s="16">
        <v>360</v>
      </c>
      <c r="M442" s="16" t="str">
        <f>IF(electric_vehicles_spec_2025_csv[[#This Row],[range_km]]&lt;=200, "0–200 km",IF(electric_vehicles_spec_2025_csv[[#This Row],[range_km]]&lt;=400, "201–400 km", "401+ km"))</f>
        <v>201–400 km</v>
      </c>
      <c r="N442" s="16">
        <v>7.3</v>
      </c>
      <c r="O442" s="16" t="str">
        <f>IF(electric_vehicles_spec_2025_csv[[#This Row],[acceleration_0_100_s]]&lt;4,"0–3.9 s",IF(electric_vehicles_spec_2025_csv[[#This Row],[acceleration_0_100_s]]&lt;6,"4.0–5.9 s",IF(electric_vehicles_spec_2025_csv[[#This Row],[acceleration_0_100_s]]&lt;8,"6.0–7.9 s","8.0+ s")))</f>
        <v>6.0–7.9 s</v>
      </c>
      <c r="P442" s="16">
        <v>110</v>
      </c>
      <c r="Q442" s="16" t="str">
        <f>IF(electric_vehicles_spec_2025_csv[[#This Row],[fast_charging_power_kw_dc]]&lt;50,"0–49 kW",IF(electric_vehicles_spec_2025_csv[[#This Row],[fast_charging_power_kw_dc]]&lt;100,"50–99 kW",IF(electric_vehicles_spec_2025_csv[[#This Row],[fast_charging_power_kw_dc]]&lt;150,"100–149 kW","150+ kW")))</f>
        <v>100–149 kW</v>
      </c>
      <c r="R442" s="16" t="s">
        <v>25</v>
      </c>
      <c r="S442" s="16">
        <v>1500</v>
      </c>
      <c r="T442" s="16" t="s">
        <v>1122</v>
      </c>
      <c r="U442" s="16">
        <v>5</v>
      </c>
      <c r="V442" s="16" t="s">
        <v>63</v>
      </c>
      <c r="W442" s="16" t="s">
        <v>43</v>
      </c>
      <c r="X442" s="16">
        <v>4440</v>
      </c>
      <c r="Y442" s="16">
        <v>1873</v>
      </c>
      <c r="Z442" s="16">
        <v>1596</v>
      </c>
      <c r="AA442" s="16" t="s">
        <v>36</v>
      </c>
      <c r="AB442" s="16" t="s">
        <v>1123</v>
      </c>
    </row>
    <row r="443" spans="1:28" x14ac:dyDescent="0.3">
      <c r="A443" s="16" t="s">
        <v>1120</v>
      </c>
      <c r="B443" s="16" t="s">
        <v>1124</v>
      </c>
      <c r="C443" s="16">
        <v>180</v>
      </c>
      <c r="D44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3" s="16">
        <v>79</v>
      </c>
      <c r="F443" s="16" t="str">
        <f>IF(electric_vehicles_spec_2025_csv[[#This Row],[battery_capacity_kWh]]&lt;=30, "0–30 kWh", IF(electric_vehicles_spec_2025_csv[[#This Row],[battery_capacity_kWh]]&lt;=60, "31–60 kWh", "61+ kWh"))</f>
        <v>61+ kWh</v>
      </c>
      <c r="G443" s="16" t="s">
        <v>24</v>
      </c>
      <c r="H443" s="16">
        <v>324</v>
      </c>
      <c r="I443" s="16">
        <v>420</v>
      </c>
      <c r="J443" s="16">
        <v>146</v>
      </c>
      <c r="K443" s="16" t="str">
        <f t="shared" si="6"/>
        <v>131–160 Wh/km</v>
      </c>
      <c r="L443" s="16">
        <v>420</v>
      </c>
      <c r="M443" s="16" t="str">
        <f>IF(electric_vehicles_spec_2025_csv[[#This Row],[range_km]]&lt;=200, "0–200 km",IF(electric_vehicles_spec_2025_csv[[#This Row],[range_km]]&lt;=400, "201–400 km", "401+ km"))</f>
        <v>401+ km</v>
      </c>
      <c r="N443" s="16">
        <v>7.3</v>
      </c>
      <c r="O443" s="16" t="str">
        <f>IF(electric_vehicles_spec_2025_csv[[#This Row],[acceleration_0_100_s]]&lt;4,"0–3.9 s",IF(electric_vehicles_spec_2025_csv[[#This Row],[acceleration_0_100_s]]&lt;6,"4.0–5.9 s",IF(electric_vehicles_spec_2025_csv[[#This Row],[acceleration_0_100_s]]&lt;8,"6.0–7.9 s","8.0+ s")))</f>
        <v>6.0–7.9 s</v>
      </c>
      <c r="P443" s="16">
        <v>125</v>
      </c>
      <c r="Q443" s="16" t="str">
        <f>IF(electric_vehicles_spec_2025_csv[[#This Row],[fast_charging_power_kw_dc]]&lt;50,"0–49 kW",IF(electric_vehicles_spec_2025_csv[[#This Row],[fast_charging_power_kw_dc]]&lt;100,"50–99 kW",IF(electric_vehicles_spec_2025_csv[[#This Row],[fast_charging_power_kw_dc]]&lt;150,"100–149 kW","150+ kW")))</f>
        <v>100–149 kW</v>
      </c>
      <c r="R443" s="16" t="s">
        <v>25</v>
      </c>
      <c r="S443" s="16">
        <v>1500</v>
      </c>
      <c r="T443" s="16" t="s">
        <v>1122</v>
      </c>
      <c r="U443" s="16">
        <v>5</v>
      </c>
      <c r="V443" s="16" t="s">
        <v>63</v>
      </c>
      <c r="W443" s="16" t="s">
        <v>43</v>
      </c>
      <c r="X443" s="16">
        <v>4440</v>
      </c>
      <c r="Y443" s="16">
        <v>1873</v>
      </c>
      <c r="Z443" s="16">
        <v>1596</v>
      </c>
      <c r="AA443" s="16" t="s">
        <v>36</v>
      </c>
      <c r="AB443" s="16" t="s">
        <v>1125</v>
      </c>
    </row>
    <row r="444" spans="1:28" x14ac:dyDescent="0.3">
      <c r="A444" s="16" t="s">
        <v>1120</v>
      </c>
      <c r="B444" s="16" t="s">
        <v>1126</v>
      </c>
      <c r="C444" s="16">
        <v>180</v>
      </c>
      <c r="D44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4" s="16">
        <v>79</v>
      </c>
      <c r="F444" s="16" t="str">
        <f>IF(electric_vehicles_spec_2025_csv[[#This Row],[battery_capacity_kWh]]&lt;=30, "0–30 kWh", IF(electric_vehicles_spec_2025_csv[[#This Row],[battery_capacity_kWh]]&lt;=60, "31–60 kWh", "61+ kWh"))</f>
        <v>61+ kWh</v>
      </c>
      <c r="G444" s="16" t="s">
        <v>24</v>
      </c>
      <c r="H444" s="16">
        <v>324</v>
      </c>
      <c r="I444" s="16">
        <v>670</v>
      </c>
      <c r="J444" s="16">
        <v>155</v>
      </c>
      <c r="K444" s="16" t="str">
        <f t="shared" si="6"/>
        <v>131–160 Wh/km</v>
      </c>
      <c r="L444" s="16">
        <v>400</v>
      </c>
      <c r="M444" s="16" t="str">
        <f>IF(electric_vehicles_spec_2025_csv[[#This Row],[range_km]]&lt;=200, "0–200 km",IF(electric_vehicles_spec_2025_csv[[#This Row],[range_km]]&lt;=400, "201–400 km", "401+ km"))</f>
        <v>201–400 km</v>
      </c>
      <c r="N444" s="16">
        <v>4.8</v>
      </c>
      <c r="O444" s="16" t="str">
        <f>IF(electric_vehicles_spec_2025_csv[[#This Row],[acceleration_0_100_s]]&lt;4,"0–3.9 s",IF(electric_vehicles_spec_2025_csv[[#This Row],[acceleration_0_100_s]]&lt;6,"4.0–5.9 s",IF(electric_vehicles_spec_2025_csv[[#This Row],[acceleration_0_100_s]]&lt;8,"6.0–7.9 s","8.0+ s")))</f>
        <v>4.0–5.9 s</v>
      </c>
      <c r="P444" s="16">
        <v>125</v>
      </c>
      <c r="Q444" s="16" t="str">
        <f>IF(electric_vehicles_spec_2025_csv[[#This Row],[fast_charging_power_kw_dc]]&lt;50,"0–49 kW",IF(electric_vehicles_spec_2025_csv[[#This Row],[fast_charging_power_kw_dc]]&lt;100,"50–99 kW",IF(electric_vehicles_spec_2025_csv[[#This Row],[fast_charging_power_kw_dc]]&lt;150,"100–149 kW","150+ kW")))</f>
        <v>100–149 kW</v>
      </c>
      <c r="R444" s="16" t="s">
        <v>25</v>
      </c>
      <c r="S444" s="16">
        <v>1800</v>
      </c>
      <c r="T444" s="16" t="s">
        <v>1122</v>
      </c>
      <c r="U444" s="16">
        <v>5</v>
      </c>
      <c r="V444" s="16" t="s">
        <v>70</v>
      </c>
      <c r="W444" s="16" t="s">
        <v>43</v>
      </c>
      <c r="X444" s="16">
        <v>4440</v>
      </c>
      <c r="Y444" s="16">
        <v>1873</v>
      </c>
      <c r="Z444" s="16">
        <v>1596</v>
      </c>
      <c r="AA444" s="16" t="s">
        <v>36</v>
      </c>
      <c r="AB444" s="16" t="s">
        <v>1127</v>
      </c>
    </row>
    <row r="445" spans="1:28" x14ac:dyDescent="0.3">
      <c r="A445" s="16" t="s">
        <v>1120</v>
      </c>
      <c r="B445" s="16" t="s">
        <v>1128</v>
      </c>
      <c r="C445" s="16">
        <v>180</v>
      </c>
      <c r="D44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5" s="16">
        <v>79</v>
      </c>
      <c r="F445" s="16" t="str">
        <f>IF(electric_vehicles_spec_2025_csv[[#This Row],[battery_capacity_kWh]]&lt;=30, "0–30 kWh", IF(electric_vehicles_spec_2025_csv[[#This Row],[battery_capacity_kWh]]&lt;=60, "31–60 kWh", "61+ kWh"))</f>
        <v>61+ kWh</v>
      </c>
      <c r="G445" s="16" t="s">
        <v>24</v>
      </c>
      <c r="H445" s="16">
        <v>324</v>
      </c>
      <c r="I445" s="16">
        <v>670</v>
      </c>
      <c r="J445" s="16">
        <v>155</v>
      </c>
      <c r="K445" s="16" t="str">
        <f t="shared" si="6"/>
        <v>131–160 Wh/km</v>
      </c>
      <c r="L445" s="16">
        <v>400</v>
      </c>
      <c r="M445" s="16" t="str">
        <f>IF(electric_vehicles_spec_2025_csv[[#This Row],[range_km]]&lt;=200, "0–200 km",IF(electric_vehicles_spec_2025_csv[[#This Row],[range_km]]&lt;=400, "201–400 km", "401+ km"))</f>
        <v>201–400 km</v>
      </c>
      <c r="N445" s="16">
        <v>4.5999999999999996</v>
      </c>
      <c r="O445" s="16" t="str">
        <f>IF(electric_vehicles_spec_2025_csv[[#This Row],[acceleration_0_100_s]]&lt;4,"0–3.9 s",IF(electric_vehicles_spec_2025_csv[[#This Row],[acceleration_0_100_s]]&lt;6,"4.0–5.9 s",IF(electric_vehicles_spec_2025_csv[[#This Row],[acceleration_0_100_s]]&lt;8,"6.0–7.9 s","8.0+ s")))</f>
        <v>4.0–5.9 s</v>
      </c>
      <c r="P445" s="16">
        <v>125</v>
      </c>
      <c r="Q445" s="16" t="str">
        <f>IF(electric_vehicles_spec_2025_csv[[#This Row],[fast_charging_power_kw_dc]]&lt;50,"0–49 kW",IF(electric_vehicles_spec_2025_csv[[#This Row],[fast_charging_power_kw_dc]]&lt;100,"50–99 kW",IF(electric_vehicles_spec_2025_csv[[#This Row],[fast_charging_power_kw_dc]]&lt;150,"100–149 kW","150+ kW")))</f>
        <v>100–149 kW</v>
      </c>
      <c r="R445" s="16" t="s">
        <v>25</v>
      </c>
      <c r="S445" s="16">
        <v>1800</v>
      </c>
      <c r="T445" s="16" t="s">
        <v>1122</v>
      </c>
      <c r="U445" s="16">
        <v>5</v>
      </c>
      <c r="V445" s="16" t="s">
        <v>70</v>
      </c>
      <c r="W445" s="16" t="s">
        <v>43</v>
      </c>
      <c r="X445" s="16">
        <v>4440</v>
      </c>
      <c r="Y445" s="16">
        <v>1873</v>
      </c>
      <c r="Z445" s="16">
        <v>1596</v>
      </c>
      <c r="AA445" s="16" t="s">
        <v>36</v>
      </c>
      <c r="AB445" s="16" t="s">
        <v>1129</v>
      </c>
    </row>
    <row r="446" spans="1:28" x14ac:dyDescent="0.3">
      <c r="A446" s="16" t="s">
        <v>1120</v>
      </c>
      <c r="B446" s="16" t="s">
        <v>1130</v>
      </c>
      <c r="C446" s="16">
        <v>180</v>
      </c>
      <c r="D44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6" s="16">
        <v>88</v>
      </c>
      <c r="F446" s="16" t="str">
        <f>IF(electric_vehicles_spec_2025_csv[[#This Row],[battery_capacity_kWh]]&lt;=30, "0–30 kWh", IF(electric_vehicles_spec_2025_csv[[#This Row],[battery_capacity_kWh]]&lt;=60, "31–60 kWh", "61+ kWh"))</f>
        <v>61+ kWh</v>
      </c>
      <c r="G446" s="16" t="s">
        <v>24</v>
      </c>
      <c r="H446" s="16"/>
      <c r="I446" s="16">
        <v>480</v>
      </c>
      <c r="J446" s="16">
        <v>135</v>
      </c>
      <c r="K446" s="16" t="str">
        <f t="shared" si="6"/>
        <v>131–160 Wh/km</v>
      </c>
      <c r="L446" s="16">
        <v>485</v>
      </c>
      <c r="M446" s="16" t="str">
        <f>IF(electric_vehicles_spec_2025_csv[[#This Row],[range_km]]&lt;=200, "0–200 km",IF(electric_vehicles_spec_2025_csv[[#This Row],[range_km]]&lt;=400, "201–400 km", "401+ km"))</f>
        <v>401+ km</v>
      </c>
      <c r="N446" s="16">
        <v>6.9</v>
      </c>
      <c r="O446" s="16" t="str">
        <f>IF(electric_vehicles_spec_2025_csv[[#This Row],[acceleration_0_100_s]]&lt;4,"0–3.9 s",IF(electric_vehicles_spec_2025_csv[[#This Row],[acceleration_0_100_s]]&lt;6,"4.0–5.9 s",IF(electric_vehicles_spec_2025_csv[[#This Row],[acceleration_0_100_s]]&lt;8,"6.0–7.9 s","8.0+ s")))</f>
        <v>6.0–7.9 s</v>
      </c>
      <c r="P446" s="16">
        <v>190</v>
      </c>
      <c r="Q446" s="16" t="str">
        <f>IF(electric_vehicles_spec_2025_csv[[#This Row],[fast_charging_power_kw_dc]]&lt;50,"0–49 kW",IF(electric_vehicles_spec_2025_csv[[#This Row],[fast_charging_power_kw_dc]]&lt;100,"50–99 kW",IF(electric_vehicles_spec_2025_csv[[#This Row],[fast_charging_power_kw_dc]]&lt;150,"100–149 kW","150+ kW")))</f>
        <v>150+ kW</v>
      </c>
      <c r="R446" s="16" t="s">
        <v>25</v>
      </c>
      <c r="S446" s="16">
        <v>1600</v>
      </c>
      <c r="T446" s="16" t="s">
        <v>872</v>
      </c>
      <c r="U446" s="16">
        <v>5</v>
      </c>
      <c r="V446" s="16" t="s">
        <v>63</v>
      </c>
      <c r="W446" s="16" t="s">
        <v>124</v>
      </c>
      <c r="X446" s="16">
        <v>5000</v>
      </c>
      <c r="Y446" s="16">
        <v>1942</v>
      </c>
      <c r="Z446" s="16">
        <v>1546</v>
      </c>
      <c r="AA446" s="16" t="s">
        <v>73</v>
      </c>
      <c r="AB446" s="16" t="s">
        <v>1131</v>
      </c>
    </row>
    <row r="447" spans="1:28" x14ac:dyDescent="0.3">
      <c r="A447" s="16" t="s">
        <v>1120</v>
      </c>
      <c r="B447" s="16" t="s">
        <v>1132</v>
      </c>
      <c r="C447" s="16">
        <v>180</v>
      </c>
      <c r="D44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7" s="16">
        <v>102</v>
      </c>
      <c r="F447" s="16" t="str">
        <f>IF(electric_vehicles_spec_2025_csv[[#This Row],[battery_capacity_kWh]]&lt;=30, "0–30 kWh", IF(electric_vehicles_spec_2025_csv[[#This Row],[battery_capacity_kWh]]&lt;=60, "31–60 kWh", "61+ kWh"))</f>
        <v>61+ kWh</v>
      </c>
      <c r="G447" s="16" t="s">
        <v>24</v>
      </c>
      <c r="H447" s="16"/>
      <c r="I447" s="16">
        <v>670</v>
      </c>
      <c r="J447" s="16">
        <v>146</v>
      </c>
      <c r="K447" s="16" t="str">
        <f t="shared" si="6"/>
        <v>131–160 Wh/km</v>
      </c>
      <c r="L447" s="16">
        <v>530</v>
      </c>
      <c r="M447" s="16" t="str">
        <f>IF(electric_vehicles_spec_2025_csv[[#This Row],[range_km]]&lt;=200, "0–200 km",IF(electric_vehicles_spec_2025_csv[[#This Row],[range_km]]&lt;=400, "201–400 km", "401+ km"))</f>
        <v>401+ km</v>
      </c>
      <c r="N447" s="16">
        <v>5.5</v>
      </c>
      <c r="O447" s="16" t="str">
        <f>IF(electric_vehicles_spec_2025_csv[[#This Row],[acceleration_0_100_s]]&lt;4,"0–3.9 s",IF(electric_vehicles_spec_2025_csv[[#This Row],[acceleration_0_100_s]]&lt;6,"4.0–5.9 s",IF(electric_vehicles_spec_2025_csv[[#This Row],[acceleration_0_100_s]]&lt;8,"6.0–7.9 s","8.0+ s")))</f>
        <v>4.0–5.9 s</v>
      </c>
      <c r="P447" s="16">
        <v>225</v>
      </c>
      <c r="Q447" s="16" t="str">
        <f>IF(electric_vehicles_spec_2025_csv[[#This Row],[fast_charging_power_kw_dc]]&lt;50,"0–49 kW",IF(electric_vehicles_spec_2025_csv[[#This Row],[fast_charging_power_kw_dc]]&lt;100,"50–99 kW",IF(electric_vehicles_spec_2025_csv[[#This Row],[fast_charging_power_kw_dc]]&lt;150,"100–149 kW","150+ kW")))</f>
        <v>150+ kW</v>
      </c>
      <c r="R447" s="16" t="s">
        <v>25</v>
      </c>
      <c r="S447" s="16">
        <v>2000</v>
      </c>
      <c r="T447" s="16" t="s">
        <v>872</v>
      </c>
      <c r="U447" s="16">
        <v>5</v>
      </c>
      <c r="V447" s="16" t="s">
        <v>70</v>
      </c>
      <c r="W447" s="16" t="s">
        <v>124</v>
      </c>
      <c r="X447" s="16">
        <v>5000</v>
      </c>
      <c r="Y447" s="16">
        <v>1942</v>
      </c>
      <c r="Z447" s="16">
        <v>1546</v>
      </c>
      <c r="AA447" s="16" t="s">
        <v>73</v>
      </c>
      <c r="AB447" s="16" t="s">
        <v>1133</v>
      </c>
    </row>
    <row r="448" spans="1:28" x14ac:dyDescent="0.3">
      <c r="A448" s="16" t="s">
        <v>1120</v>
      </c>
      <c r="B448" s="16" t="s">
        <v>1134</v>
      </c>
      <c r="C448" s="16">
        <v>180</v>
      </c>
      <c r="D44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8" s="16">
        <v>102</v>
      </c>
      <c r="F448" s="16" t="str">
        <f>IF(electric_vehicles_spec_2025_csv[[#This Row],[battery_capacity_kWh]]&lt;=30, "0–30 kWh", IF(electric_vehicles_spec_2025_csv[[#This Row],[battery_capacity_kWh]]&lt;=60, "31–60 kWh", "61+ kWh"))</f>
        <v>61+ kWh</v>
      </c>
      <c r="G448" s="16" t="s">
        <v>24</v>
      </c>
      <c r="H448" s="16"/>
      <c r="I448" s="16">
        <v>870</v>
      </c>
      <c r="J448" s="16">
        <v>146</v>
      </c>
      <c r="K448" s="16" t="str">
        <f t="shared" si="6"/>
        <v>131–160 Wh/km</v>
      </c>
      <c r="L448" s="16">
        <v>530</v>
      </c>
      <c r="M448" s="16" t="s">
        <v>1228</v>
      </c>
      <c r="N448" s="16">
        <v>4</v>
      </c>
      <c r="O448" s="16" t="str">
        <f>IF(electric_vehicles_spec_2025_csv[[#This Row],[acceleration_0_100_s]]&lt;4,"0–3.9 s",IF(electric_vehicles_spec_2025_csv[[#This Row],[acceleration_0_100_s]]&lt;6,"4.0–5.9 s",IF(electric_vehicles_spec_2025_csv[[#This Row],[acceleration_0_100_s]]&lt;8,"6.0–7.9 s","8.0+ s")))</f>
        <v>4.0–5.9 s</v>
      </c>
      <c r="P448" s="16">
        <v>225</v>
      </c>
      <c r="Q448" s="16" t="str">
        <f>IF(electric_vehicles_spec_2025_csv[[#This Row],[fast_charging_power_kw_dc]]&lt;50,"0–49 kW",IF(electric_vehicles_spec_2025_csv[[#This Row],[fast_charging_power_kw_dc]]&lt;100,"50–99 kW",IF(electric_vehicles_spec_2025_csv[[#This Row],[fast_charging_power_kw_dc]]&lt;150,"100–149 kW","150+ kW")))</f>
        <v>150+ kW</v>
      </c>
      <c r="R448" s="16" t="s">
        <v>25</v>
      </c>
      <c r="S448" s="16">
        <v>2000</v>
      </c>
      <c r="T448" s="16" t="s">
        <v>872</v>
      </c>
      <c r="U448" s="16">
        <v>5</v>
      </c>
      <c r="V448" s="16" t="s">
        <v>70</v>
      </c>
      <c r="W448" s="16" t="s">
        <v>124</v>
      </c>
      <c r="X448" s="16">
        <v>5000</v>
      </c>
      <c r="Y448" s="16">
        <v>1942</v>
      </c>
      <c r="Z448" s="16">
        <v>1546</v>
      </c>
      <c r="AA448" s="16" t="s">
        <v>73</v>
      </c>
      <c r="AB448" s="16" t="s">
        <v>1135</v>
      </c>
    </row>
    <row r="449" spans="1:28" x14ac:dyDescent="0.3">
      <c r="A449" s="16" t="s">
        <v>1120</v>
      </c>
      <c r="B449" s="16" t="s">
        <v>1136</v>
      </c>
      <c r="C449" s="16">
        <v>180</v>
      </c>
      <c r="D44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49" s="16">
        <v>65</v>
      </c>
      <c r="F449" s="16" t="str">
        <f>IF(electric_vehicles_spec_2025_csv[[#This Row],[battery_capacity_kWh]]&lt;=30, "0–30 kWh", IF(electric_vehicles_spec_2025_csv[[#This Row],[battery_capacity_kWh]]&lt;=60, "31–60 kWh", "61+ kWh"))</f>
        <v>61+ kWh</v>
      </c>
      <c r="G449" s="16" t="s">
        <v>24</v>
      </c>
      <c r="H449" s="16"/>
      <c r="I449" s="16">
        <v>543</v>
      </c>
      <c r="J449" s="16">
        <v>152</v>
      </c>
      <c r="K449" s="16" t="str">
        <f t="shared" si="6"/>
        <v>131–160 Wh/km</v>
      </c>
      <c r="L449" s="16">
        <v>330</v>
      </c>
      <c r="M449" s="16"/>
      <c r="N449" s="16">
        <v>3.7</v>
      </c>
      <c r="O449" s="16" t="str">
        <f>IF(electric_vehicles_spec_2025_csv[[#This Row],[acceleration_0_100_s]]&lt;4,"0–3.9 s",IF(electric_vehicles_spec_2025_csv[[#This Row],[acceleration_0_100_s]]&lt;6,"4.0–5.9 s",IF(electric_vehicles_spec_2025_csv[[#This Row],[acceleration_0_100_s]]&lt;8,"6.0–7.9 s","8.0+ s")))</f>
        <v>0–3.9 s</v>
      </c>
      <c r="P449" s="16">
        <v>114</v>
      </c>
      <c r="Q449" s="16" t="str">
        <f>IF(electric_vehicles_spec_2025_csv[[#This Row],[fast_charging_power_kw_dc]]&lt;50,"0–49 kW",IF(electric_vehicles_spec_2025_csv[[#This Row],[fast_charging_power_kw_dc]]&lt;100,"50–99 kW",IF(electric_vehicles_spec_2025_csv[[#This Row],[fast_charging_power_kw_dc]]&lt;150,"100–149 kW","150+ kW")))</f>
        <v>100–149 kW</v>
      </c>
      <c r="R449" s="16" t="s">
        <v>25</v>
      </c>
      <c r="S449" s="16">
        <v>1600</v>
      </c>
      <c r="T449" s="16" t="s">
        <v>1137</v>
      </c>
      <c r="U449" s="16">
        <v>5</v>
      </c>
      <c r="V449" s="16" t="s">
        <v>70</v>
      </c>
      <c r="W449" s="16" t="s">
        <v>35</v>
      </c>
      <c r="X449" s="16">
        <v>4233</v>
      </c>
      <c r="Y449" s="16">
        <v>1837</v>
      </c>
      <c r="Z449" s="16">
        <v>1573</v>
      </c>
      <c r="AA449" s="16" t="s">
        <v>36</v>
      </c>
      <c r="AB449" s="16" t="s">
        <v>1138</v>
      </c>
    </row>
    <row r="450" spans="1:28" x14ac:dyDescent="0.3">
      <c r="A450" s="16" t="s">
        <v>1120</v>
      </c>
      <c r="B450" s="16" t="s">
        <v>1139</v>
      </c>
      <c r="C450" s="16">
        <v>180</v>
      </c>
      <c r="D45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0" s="16">
        <v>49</v>
      </c>
      <c r="F450" s="16" t="str">
        <f>IF(electric_vehicles_spec_2025_csv[[#This Row],[battery_capacity_kWh]]&lt;=30, "0–30 kWh", IF(electric_vehicles_spec_2025_csv[[#This Row],[battery_capacity_kWh]]&lt;=60, "31–60 kWh", "61+ kWh"))</f>
        <v>31–60 kWh</v>
      </c>
      <c r="G450" s="16" t="s">
        <v>24</v>
      </c>
      <c r="H450" s="16"/>
      <c r="I450" s="16">
        <v>343</v>
      </c>
      <c r="J450" s="16">
        <v>147</v>
      </c>
      <c r="K450" s="16" t="str">
        <f t="shared" ref="K450:K479" si="7">IF(J450&lt;=130,"0–130 Wh/km",IF(J450&lt;=160,"131–160 Wh/km","161+ Wh/km"))</f>
        <v>131–160 Wh/km</v>
      </c>
      <c r="L450" s="16">
        <v>275</v>
      </c>
      <c r="M450" s="16"/>
      <c r="N450" s="16">
        <v>5.7</v>
      </c>
      <c r="O450" s="16" t="str">
        <f>IF(electric_vehicles_spec_2025_csv[[#This Row],[acceleration_0_100_s]]&lt;4,"0–3.9 s",IF(electric_vehicles_spec_2025_csv[[#This Row],[acceleration_0_100_s]]&lt;6,"4.0–5.9 s",IF(electric_vehicles_spec_2025_csv[[#This Row],[acceleration_0_100_s]]&lt;8,"6.0–7.9 s","8.0+ s")))</f>
        <v>4.0–5.9 s</v>
      </c>
      <c r="P450" s="16">
        <v>80</v>
      </c>
      <c r="Q450" s="16" t="str">
        <f>IF(electric_vehicles_spec_2025_csv[[#This Row],[fast_charging_power_kw_dc]]&lt;50,"0–49 kW",IF(electric_vehicles_spec_2025_csv[[#This Row],[fast_charging_power_kw_dc]]&lt;100,"50–99 kW",IF(electric_vehicles_spec_2025_csv[[#This Row],[fast_charging_power_kw_dc]]&lt;150,"100–149 kW","150+ kW")))</f>
        <v>50–99 kW</v>
      </c>
      <c r="R450" s="16" t="s">
        <v>25</v>
      </c>
      <c r="S450" s="16">
        <v>1000</v>
      </c>
      <c r="T450" s="16" t="s">
        <v>1137</v>
      </c>
      <c r="U450" s="16">
        <v>5</v>
      </c>
      <c r="V450" s="16" t="s">
        <v>63</v>
      </c>
      <c r="W450" s="16" t="s">
        <v>35</v>
      </c>
      <c r="X450" s="16">
        <v>4233</v>
      </c>
      <c r="Y450" s="16">
        <v>1837</v>
      </c>
      <c r="Z450" s="16">
        <v>1549</v>
      </c>
      <c r="AA450" s="16" t="s">
        <v>36</v>
      </c>
      <c r="AB450" s="16" t="s">
        <v>1140</v>
      </c>
    </row>
    <row r="451" spans="1:28" x14ac:dyDescent="0.3">
      <c r="A451" s="16" t="s">
        <v>1120</v>
      </c>
      <c r="B451" s="16" t="s">
        <v>1141</v>
      </c>
      <c r="C451" s="16">
        <v>180</v>
      </c>
      <c r="D45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1" s="16">
        <v>65</v>
      </c>
      <c r="F451" s="16" t="str">
        <f>IF(electric_vehicles_spec_2025_csv[[#This Row],[battery_capacity_kWh]]&lt;=30, "0–30 kWh", IF(electric_vehicles_spec_2025_csv[[#This Row],[battery_capacity_kWh]]&lt;=60, "31–60 kWh", "61+ kWh"))</f>
        <v>61+ kWh</v>
      </c>
      <c r="G451" s="16" t="s">
        <v>24</v>
      </c>
      <c r="H451" s="16"/>
      <c r="I451" s="16">
        <v>343</v>
      </c>
      <c r="J451" s="16">
        <v>138</v>
      </c>
      <c r="K451" s="16" t="str">
        <f t="shared" si="7"/>
        <v>131–160 Wh/km</v>
      </c>
      <c r="L451" s="16">
        <v>365</v>
      </c>
      <c r="M451" s="16"/>
      <c r="N451" s="16">
        <v>5.3</v>
      </c>
      <c r="O451" s="16" t="str">
        <f>IF(electric_vehicles_spec_2025_csv[[#This Row],[acceleration_0_100_s]]&lt;4,"0–3.9 s",IF(electric_vehicles_spec_2025_csv[[#This Row],[acceleration_0_100_s]]&lt;6,"4.0–5.9 s",IF(electric_vehicles_spec_2025_csv[[#This Row],[acceleration_0_100_s]]&lt;8,"6.0–7.9 s","8.0+ s")))</f>
        <v>4.0–5.9 s</v>
      </c>
      <c r="P451" s="16">
        <v>113</v>
      </c>
      <c r="Q451" s="16" t="str">
        <f>IF(electric_vehicles_spec_2025_csv[[#This Row],[fast_charging_power_kw_dc]]&lt;50,"0–49 kW",IF(electric_vehicles_spec_2025_csv[[#This Row],[fast_charging_power_kw_dc]]&lt;100,"50–99 kW",IF(electric_vehicles_spec_2025_csv[[#This Row],[fast_charging_power_kw_dc]]&lt;150,"100–149 kW","150+ kW")))</f>
        <v>100–149 kW</v>
      </c>
      <c r="R451" s="16" t="s">
        <v>25</v>
      </c>
      <c r="S451" s="16">
        <v>1600</v>
      </c>
      <c r="T451" s="16" t="s">
        <v>1137</v>
      </c>
      <c r="U451" s="16">
        <v>5</v>
      </c>
      <c r="V451" s="16" t="s">
        <v>63</v>
      </c>
      <c r="W451" s="16" t="s">
        <v>35</v>
      </c>
      <c r="X451" s="16">
        <v>4233</v>
      </c>
      <c r="Y451" s="16">
        <v>1837</v>
      </c>
      <c r="Z451" s="16">
        <v>1549</v>
      </c>
      <c r="AA451" s="16" t="s">
        <v>36</v>
      </c>
      <c r="AB451" s="16" t="s">
        <v>1142</v>
      </c>
    </row>
    <row r="452" spans="1:28" x14ac:dyDescent="0.3">
      <c r="A452" s="16" t="s">
        <v>1120</v>
      </c>
      <c r="B452" s="16" t="s">
        <v>1143</v>
      </c>
      <c r="C452" s="16">
        <v>180</v>
      </c>
      <c r="D45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2" s="16">
        <v>65</v>
      </c>
      <c r="F452" s="16" t="str">
        <f>IF(electric_vehicles_spec_2025_csv[[#This Row],[battery_capacity_kWh]]&lt;=30, "0–30 kWh", IF(electric_vehicles_spec_2025_csv[[#This Row],[battery_capacity_kWh]]&lt;=60, "31–60 kWh", "61+ kWh"))</f>
        <v>61+ kWh</v>
      </c>
      <c r="G452" s="16" t="s">
        <v>24</v>
      </c>
      <c r="H452" s="16"/>
      <c r="I452" s="16">
        <v>543</v>
      </c>
      <c r="J452" s="16">
        <v>145</v>
      </c>
      <c r="K452" s="16" t="str">
        <f t="shared" si="7"/>
        <v>131–160 Wh/km</v>
      </c>
      <c r="L452" s="16">
        <v>340</v>
      </c>
      <c r="M452" s="16"/>
      <c r="N452" s="16">
        <v>3.6</v>
      </c>
      <c r="O452" s="16" t="str">
        <f>IF(electric_vehicles_spec_2025_csv[[#This Row],[acceleration_0_100_s]]&lt;4,"0–3.9 s",IF(electric_vehicles_spec_2025_csv[[#This Row],[acceleration_0_100_s]]&lt;6,"4.0–5.9 s",IF(electric_vehicles_spec_2025_csv[[#This Row],[acceleration_0_100_s]]&lt;8,"6.0–7.9 s","8.0+ s")))</f>
        <v>0–3.9 s</v>
      </c>
      <c r="P452" s="16">
        <v>113</v>
      </c>
      <c r="Q452" s="16" t="str">
        <f>IF(electric_vehicles_spec_2025_csv[[#This Row],[fast_charging_power_kw_dc]]&lt;50,"0–49 kW",IF(electric_vehicles_spec_2025_csv[[#This Row],[fast_charging_power_kw_dc]]&lt;100,"50–99 kW",IF(electric_vehicles_spec_2025_csv[[#This Row],[fast_charging_power_kw_dc]]&lt;150,"100–149 kW","150+ kW")))</f>
        <v>100–149 kW</v>
      </c>
      <c r="R452" s="16" t="s">
        <v>25</v>
      </c>
      <c r="S452" s="16">
        <v>1600</v>
      </c>
      <c r="T452" s="16" t="s">
        <v>1137</v>
      </c>
      <c r="U452" s="16">
        <v>5</v>
      </c>
      <c r="V452" s="16" t="s">
        <v>70</v>
      </c>
      <c r="W452" s="16" t="s">
        <v>35</v>
      </c>
      <c r="X452" s="16">
        <v>4233</v>
      </c>
      <c r="Y452" s="16">
        <v>1837</v>
      </c>
      <c r="Z452" s="16">
        <v>1549</v>
      </c>
      <c r="AA452" s="16" t="s">
        <v>36</v>
      </c>
      <c r="AB452" s="16" t="s">
        <v>1144</v>
      </c>
    </row>
    <row r="453" spans="1:28" x14ac:dyDescent="0.3">
      <c r="A453" s="16" t="s">
        <v>1120</v>
      </c>
      <c r="B453" s="16" t="s">
        <v>1145</v>
      </c>
      <c r="C453" s="16">
        <v>180</v>
      </c>
      <c r="D45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3" s="16">
        <v>67</v>
      </c>
      <c r="F453" s="16" t="str">
        <f>IF(electric_vehicles_spec_2025_csv[[#This Row],[battery_capacity_kWh]]&lt;=30, "0–30 kWh", IF(electric_vehicles_spec_2025_csv[[#This Row],[battery_capacity_kWh]]&lt;=60, "31–60 kWh", "61+ kWh"))</f>
        <v>61+ kWh</v>
      </c>
      <c r="G453" s="16" t="s">
        <v>24</v>
      </c>
      <c r="H453" s="16"/>
      <c r="I453" s="16">
        <v>420</v>
      </c>
      <c r="J453" s="16">
        <v>154</v>
      </c>
      <c r="K453" s="16" t="str">
        <f t="shared" si="7"/>
        <v>131–160 Wh/km</v>
      </c>
      <c r="L453" s="16">
        <v>345</v>
      </c>
      <c r="M453" s="16"/>
      <c r="N453" s="16">
        <v>7.3</v>
      </c>
      <c r="O453" s="16" t="str">
        <f>IF(electric_vehicles_spec_2025_csv[[#This Row],[acceleration_0_100_s]]&lt;4,"0–3.9 s",IF(electric_vehicles_spec_2025_csv[[#This Row],[acceleration_0_100_s]]&lt;6,"4.0–5.9 s",IF(electric_vehicles_spec_2025_csv[[#This Row],[acceleration_0_100_s]]&lt;8,"6.0–7.9 s","8.0+ s")))</f>
        <v>6.0–7.9 s</v>
      </c>
      <c r="P453" s="16">
        <v>110</v>
      </c>
      <c r="Q453" s="16" t="str">
        <f>IF(electric_vehicles_spec_2025_csv[[#This Row],[fast_charging_power_kw_dc]]&lt;50,"0–49 kW",IF(electric_vehicles_spec_2025_csv[[#This Row],[fast_charging_power_kw_dc]]&lt;100,"50–99 kW",IF(electric_vehicles_spec_2025_csv[[#This Row],[fast_charging_power_kw_dc]]&lt;150,"100–149 kW","150+ kW")))</f>
        <v>100–149 kW</v>
      </c>
      <c r="R453" s="16" t="s">
        <v>25</v>
      </c>
      <c r="S453" s="16">
        <v>1500</v>
      </c>
      <c r="T453" s="16" t="s">
        <v>544</v>
      </c>
      <c r="U453" s="16">
        <v>5</v>
      </c>
      <c r="V453" s="16" t="s">
        <v>63</v>
      </c>
      <c r="W453" s="16" t="s">
        <v>43</v>
      </c>
      <c r="X453" s="16">
        <v>4440</v>
      </c>
      <c r="Y453" s="16">
        <v>1863</v>
      </c>
      <c r="Z453" s="16">
        <v>1652</v>
      </c>
      <c r="AA453" s="16" t="s">
        <v>36</v>
      </c>
      <c r="AB453" s="16" t="s">
        <v>1146</v>
      </c>
    </row>
    <row r="454" spans="1:28" x14ac:dyDescent="0.3">
      <c r="A454" s="16" t="s">
        <v>1120</v>
      </c>
      <c r="B454" s="16" t="s">
        <v>1147</v>
      </c>
      <c r="C454" s="16">
        <v>180</v>
      </c>
      <c r="D45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4" s="16">
        <v>79</v>
      </c>
      <c r="F454" s="16" t="str">
        <f>IF(electric_vehicles_spec_2025_csv[[#This Row],[battery_capacity_kWh]]&lt;=30, "0–30 kWh", IF(electric_vehicles_spec_2025_csv[[#This Row],[battery_capacity_kWh]]&lt;=60, "31–60 kWh", "61+ kWh"))</f>
        <v>61+ kWh</v>
      </c>
      <c r="G454" s="16" t="s">
        <v>24</v>
      </c>
      <c r="H454" s="16">
        <v>324</v>
      </c>
      <c r="I454" s="16">
        <v>420</v>
      </c>
      <c r="J454" s="16">
        <v>152</v>
      </c>
      <c r="K454" s="16" t="str">
        <f t="shared" si="7"/>
        <v>131–160 Wh/km</v>
      </c>
      <c r="L454" s="16">
        <v>400</v>
      </c>
      <c r="M454" s="16"/>
      <c r="N454" s="16">
        <v>7.3</v>
      </c>
      <c r="O454" s="16" t="str">
        <f>IF(electric_vehicles_spec_2025_csv[[#This Row],[acceleration_0_100_s]]&lt;4,"0–3.9 s",IF(electric_vehicles_spec_2025_csv[[#This Row],[acceleration_0_100_s]]&lt;6,"4.0–5.9 s",IF(electric_vehicles_spec_2025_csv[[#This Row],[acceleration_0_100_s]]&lt;8,"6.0–7.9 s","8.0+ s")))</f>
        <v>6.0–7.9 s</v>
      </c>
      <c r="P454" s="16">
        <v>125</v>
      </c>
      <c r="Q454" s="16" t="str">
        <f>IF(electric_vehicles_spec_2025_csv[[#This Row],[fast_charging_power_kw_dc]]&lt;50,"0–49 kW",IF(electric_vehicles_spec_2025_csv[[#This Row],[fast_charging_power_kw_dc]]&lt;100,"50–99 kW",IF(electric_vehicles_spec_2025_csv[[#This Row],[fast_charging_power_kw_dc]]&lt;150,"100–149 kW","150+ kW")))</f>
        <v>100–149 kW</v>
      </c>
      <c r="R454" s="16" t="s">
        <v>25</v>
      </c>
      <c r="S454" s="16">
        <v>1500</v>
      </c>
      <c r="T454" s="16" t="s">
        <v>544</v>
      </c>
      <c r="U454" s="16">
        <v>5</v>
      </c>
      <c r="V454" s="16" t="s">
        <v>63</v>
      </c>
      <c r="W454" s="16" t="s">
        <v>43</v>
      </c>
      <c r="X454" s="16">
        <v>4440</v>
      </c>
      <c r="Y454" s="16">
        <v>1863</v>
      </c>
      <c r="Z454" s="16">
        <v>1652</v>
      </c>
      <c r="AA454" s="16" t="s">
        <v>36</v>
      </c>
      <c r="AB454" s="16" t="s">
        <v>1148</v>
      </c>
    </row>
    <row r="455" spans="1:28" x14ac:dyDescent="0.3">
      <c r="A455" s="16" t="s">
        <v>1120</v>
      </c>
      <c r="B455" s="16" t="s">
        <v>1149</v>
      </c>
      <c r="C455" s="16">
        <v>180</v>
      </c>
      <c r="D45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5" s="16">
        <v>79</v>
      </c>
      <c r="F455" s="16" t="str">
        <f>IF(electric_vehicles_spec_2025_csv[[#This Row],[battery_capacity_kWh]]&lt;=30, "0–30 kWh", IF(electric_vehicles_spec_2025_csv[[#This Row],[battery_capacity_kWh]]&lt;=60, "31–60 kWh", "61+ kWh"))</f>
        <v>61+ kWh</v>
      </c>
      <c r="G455" s="16" t="s">
        <v>24</v>
      </c>
      <c r="H455" s="16">
        <v>324</v>
      </c>
      <c r="I455" s="16">
        <v>670</v>
      </c>
      <c r="J455" s="16">
        <v>163</v>
      </c>
      <c r="K455" s="16" t="str">
        <f t="shared" si="7"/>
        <v>161+ Wh/km</v>
      </c>
      <c r="L455" s="16">
        <v>385</v>
      </c>
      <c r="M455" s="16"/>
      <c r="N455" s="16">
        <v>4.8</v>
      </c>
      <c r="O455" s="16" t="str">
        <f>IF(electric_vehicles_spec_2025_csv[[#This Row],[acceleration_0_100_s]]&lt;4,"0–3.9 s",IF(electric_vehicles_spec_2025_csv[[#This Row],[acceleration_0_100_s]]&lt;6,"4.0–5.9 s",IF(electric_vehicles_spec_2025_csv[[#This Row],[acceleration_0_100_s]]&lt;8,"6.0–7.9 s","8.0+ s")))</f>
        <v>4.0–5.9 s</v>
      </c>
      <c r="P455" s="16">
        <v>125</v>
      </c>
      <c r="Q455" s="16" t="str">
        <f>IF(electric_vehicles_spec_2025_csv[[#This Row],[fast_charging_power_kw_dc]]&lt;50,"0–49 kW",IF(electric_vehicles_spec_2025_csv[[#This Row],[fast_charging_power_kw_dc]]&lt;100,"50–99 kW",IF(electric_vehicles_spec_2025_csv[[#This Row],[fast_charging_power_kw_dc]]&lt;150,"100–149 kW","150+ kW")))</f>
        <v>100–149 kW</v>
      </c>
      <c r="R455" s="16" t="s">
        <v>25</v>
      </c>
      <c r="S455" s="16">
        <v>1800</v>
      </c>
      <c r="T455" s="16" t="s">
        <v>544</v>
      </c>
      <c r="U455" s="16">
        <v>5</v>
      </c>
      <c r="V455" s="16" t="s">
        <v>70</v>
      </c>
      <c r="W455" s="16" t="s">
        <v>43</v>
      </c>
      <c r="X455" s="16">
        <v>4440</v>
      </c>
      <c r="Y455" s="16">
        <v>1863</v>
      </c>
      <c r="Z455" s="16">
        <v>1652</v>
      </c>
      <c r="AA455" s="16" t="s">
        <v>36</v>
      </c>
      <c r="AB455" s="16" t="s">
        <v>1150</v>
      </c>
    </row>
    <row r="456" spans="1:28" x14ac:dyDescent="0.3">
      <c r="A456" s="16" t="s">
        <v>1120</v>
      </c>
      <c r="B456" s="16" t="s">
        <v>1151</v>
      </c>
      <c r="C456" s="16">
        <v>180</v>
      </c>
      <c r="D45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6" s="16">
        <v>79</v>
      </c>
      <c r="F456" s="16" t="str">
        <f>IF(electric_vehicles_spec_2025_csv[[#This Row],[battery_capacity_kWh]]&lt;=30, "0–30 kWh", IF(electric_vehicles_spec_2025_csv[[#This Row],[battery_capacity_kWh]]&lt;=60, "31–60 kWh", "61+ kWh"))</f>
        <v>61+ kWh</v>
      </c>
      <c r="G456" s="16" t="s">
        <v>24</v>
      </c>
      <c r="H456" s="16">
        <v>324</v>
      </c>
      <c r="I456" s="16">
        <v>670</v>
      </c>
      <c r="J456" s="16">
        <v>163</v>
      </c>
      <c r="K456" s="16" t="str">
        <f t="shared" si="7"/>
        <v>161+ Wh/km</v>
      </c>
      <c r="L456" s="16">
        <v>385</v>
      </c>
      <c r="M456" s="16"/>
      <c r="N456" s="16">
        <v>4.5999999999999996</v>
      </c>
      <c r="O456" s="16" t="str">
        <f>IF(electric_vehicles_spec_2025_csv[[#This Row],[acceleration_0_100_s]]&lt;4,"0–3.9 s",IF(electric_vehicles_spec_2025_csv[[#This Row],[acceleration_0_100_s]]&lt;6,"4.0–5.9 s",IF(electric_vehicles_spec_2025_csv[[#This Row],[acceleration_0_100_s]]&lt;8,"6.0–7.9 s","8.0+ s")))</f>
        <v>4.0–5.9 s</v>
      </c>
      <c r="P456" s="16">
        <v>125</v>
      </c>
      <c r="Q456" s="16" t="str">
        <f>IF(electric_vehicles_spec_2025_csv[[#This Row],[fast_charging_power_kw_dc]]&lt;50,"0–49 kW",IF(electric_vehicles_spec_2025_csv[[#This Row],[fast_charging_power_kw_dc]]&lt;100,"50–99 kW",IF(electric_vehicles_spec_2025_csv[[#This Row],[fast_charging_power_kw_dc]]&lt;150,"100–149 kW","150+ kW")))</f>
        <v>100–149 kW</v>
      </c>
      <c r="R456" s="16" t="s">
        <v>25</v>
      </c>
      <c r="S456" s="16">
        <v>1800</v>
      </c>
      <c r="T456" s="16" t="s">
        <v>544</v>
      </c>
      <c r="U456" s="16">
        <v>5</v>
      </c>
      <c r="V456" s="16" t="s">
        <v>70</v>
      </c>
      <c r="W456" s="16" t="s">
        <v>43</v>
      </c>
      <c r="X456" s="16">
        <v>4440</v>
      </c>
      <c r="Y456" s="16">
        <v>1863</v>
      </c>
      <c r="Z456" s="16">
        <v>1652</v>
      </c>
      <c r="AA456" s="16" t="s">
        <v>36</v>
      </c>
      <c r="AB456" s="16" t="s">
        <v>1152</v>
      </c>
    </row>
    <row r="457" spans="1:28" x14ac:dyDescent="0.3">
      <c r="A457" s="16" t="s">
        <v>1120</v>
      </c>
      <c r="B457" s="16" t="s">
        <v>1153</v>
      </c>
      <c r="C457" s="16">
        <v>180</v>
      </c>
      <c r="D45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7" s="16">
        <v>100</v>
      </c>
      <c r="F457" s="16" t="str">
        <f>IF(electric_vehicles_spec_2025_csv[[#This Row],[battery_capacity_kWh]]&lt;=30, "0–30 kWh", IF(electric_vehicles_spec_2025_csv[[#This Row],[battery_capacity_kWh]]&lt;=60, "31–60 kWh", "61+ kWh"))</f>
        <v>61+ kWh</v>
      </c>
      <c r="G457" s="16" t="s">
        <v>24</v>
      </c>
      <c r="H457" s="16">
        <v>192</v>
      </c>
      <c r="I457" s="16">
        <v>490</v>
      </c>
      <c r="J457" s="16">
        <v>182</v>
      </c>
      <c r="K457" s="16" t="str">
        <f t="shared" si="7"/>
        <v>161+ Wh/km</v>
      </c>
      <c r="L457" s="16">
        <v>460</v>
      </c>
      <c r="M457" s="16"/>
      <c r="N457" s="16">
        <v>8.4</v>
      </c>
      <c r="O457" s="16" t="str">
        <f>IF(electric_vehicles_spec_2025_csv[[#This Row],[acceleration_0_100_s]]&lt;4,"0–3.9 s",IF(electric_vehicles_spec_2025_csv[[#This Row],[acceleration_0_100_s]]&lt;6,"4.0–5.9 s",IF(electric_vehicles_spec_2025_csv[[#This Row],[acceleration_0_100_s]]&lt;8,"6.0–7.9 s","8.0+ s")))</f>
        <v>8.0+ s</v>
      </c>
      <c r="P457" s="16">
        <v>140</v>
      </c>
      <c r="Q457" s="16" t="str">
        <f>IF(electric_vehicles_spec_2025_csv[[#This Row],[fast_charging_power_kw_dc]]&lt;50,"0–49 kW",IF(electric_vehicles_spec_2025_csv[[#This Row],[fast_charging_power_kw_dc]]&lt;100,"50–99 kW",IF(electric_vehicles_spec_2025_csv[[#This Row],[fast_charging_power_kw_dc]]&lt;150,"100–149 kW","150+ kW")))</f>
        <v>100–149 kW</v>
      </c>
      <c r="R457" s="16" t="s">
        <v>25</v>
      </c>
      <c r="S457" s="16">
        <v>1200</v>
      </c>
      <c r="T457" s="16" t="s">
        <v>251</v>
      </c>
      <c r="U457" s="16">
        <v>7</v>
      </c>
      <c r="V457" s="16" t="s">
        <v>63</v>
      </c>
      <c r="W457" s="16" t="s">
        <v>239</v>
      </c>
      <c r="X457" s="16">
        <v>5037</v>
      </c>
      <c r="Y457" s="16">
        <v>1964</v>
      </c>
      <c r="Z457" s="16">
        <v>1744</v>
      </c>
      <c r="AA457" s="16" t="s">
        <v>36</v>
      </c>
      <c r="AB457" s="16" t="s">
        <v>1154</v>
      </c>
    </row>
    <row r="458" spans="1:28" x14ac:dyDescent="0.3">
      <c r="A458" s="16" t="s">
        <v>1120</v>
      </c>
      <c r="B458" s="16" t="s">
        <v>1155</v>
      </c>
      <c r="C458" s="16">
        <v>180</v>
      </c>
      <c r="D45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8" s="16">
        <v>107</v>
      </c>
      <c r="F458" s="16" t="str">
        <f>IF(electric_vehicles_spec_2025_csv[[#This Row],[battery_capacity_kWh]]&lt;=30, "0–30 kWh", IF(electric_vehicles_spec_2025_csv[[#This Row],[battery_capacity_kWh]]&lt;=60, "31–60 kWh", "61+ kWh"))</f>
        <v>61+ kWh</v>
      </c>
      <c r="G458" s="16" t="s">
        <v>24</v>
      </c>
      <c r="H458" s="16">
        <v>204</v>
      </c>
      <c r="I458" s="16">
        <v>770</v>
      </c>
      <c r="J458" s="16">
        <v>188</v>
      </c>
      <c r="K458" s="16" t="str">
        <f t="shared" si="7"/>
        <v>161+ Wh/km</v>
      </c>
      <c r="L458" s="16">
        <v>470</v>
      </c>
      <c r="M458" s="16"/>
      <c r="N458" s="16">
        <v>5.9</v>
      </c>
      <c r="O458" s="16" t="str">
        <f>IF(electric_vehicles_spec_2025_csv[[#This Row],[acceleration_0_100_s]]&lt;4,"0–3.9 s",IF(electric_vehicles_spec_2025_csv[[#This Row],[acceleration_0_100_s]]&lt;6,"4.0–5.9 s",IF(electric_vehicles_spec_2025_csv[[#This Row],[acceleration_0_100_s]]&lt;8,"6.0–7.9 s","8.0+ s")))</f>
        <v>4.0–5.9 s</v>
      </c>
      <c r="P458" s="16">
        <v>150</v>
      </c>
      <c r="Q458" s="16" t="str">
        <f>IF(electric_vehicles_spec_2025_csv[[#This Row],[fast_charging_power_kw_dc]]&lt;50,"0–49 kW",IF(electric_vehicles_spec_2025_csv[[#This Row],[fast_charging_power_kw_dc]]&lt;100,"50–99 kW",IF(electric_vehicles_spec_2025_csv[[#This Row],[fast_charging_power_kw_dc]]&lt;150,"100–149 kW","150+ kW")))</f>
        <v>150+ kW</v>
      </c>
      <c r="R458" s="16" t="s">
        <v>25</v>
      </c>
      <c r="S458" s="16">
        <v>2200</v>
      </c>
      <c r="T458" s="16" t="s">
        <v>251</v>
      </c>
      <c r="U458" s="16">
        <v>7</v>
      </c>
      <c r="V458" s="16" t="s">
        <v>70</v>
      </c>
      <c r="W458" s="16" t="s">
        <v>239</v>
      </c>
      <c r="X458" s="16">
        <v>5037</v>
      </c>
      <c r="Y458" s="16">
        <v>1964</v>
      </c>
      <c r="Z458" s="16">
        <v>1744</v>
      </c>
      <c r="AA458" s="16" t="s">
        <v>36</v>
      </c>
      <c r="AB458" s="16" t="s">
        <v>1156</v>
      </c>
    </row>
    <row r="459" spans="1:28" x14ac:dyDescent="0.3">
      <c r="A459" s="16" t="s">
        <v>1120</v>
      </c>
      <c r="B459" s="16" t="s">
        <v>1157</v>
      </c>
      <c r="C459" s="16">
        <v>180</v>
      </c>
      <c r="D45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59" s="16">
        <v>107</v>
      </c>
      <c r="F459" s="16" t="str">
        <f>IF(electric_vehicles_spec_2025_csv[[#This Row],[battery_capacity_kWh]]&lt;=30, "0–30 kWh", IF(electric_vehicles_spec_2025_csv[[#This Row],[battery_capacity_kWh]]&lt;=60, "31–60 kWh", "61+ kWh"))</f>
        <v>61+ kWh</v>
      </c>
      <c r="G459" s="16" t="s">
        <v>24</v>
      </c>
      <c r="H459" s="16">
        <v>204</v>
      </c>
      <c r="I459" s="16">
        <v>910</v>
      </c>
      <c r="J459" s="16">
        <v>188</v>
      </c>
      <c r="K459" s="16" t="str">
        <f t="shared" si="7"/>
        <v>161+ Wh/km</v>
      </c>
      <c r="L459" s="16">
        <v>455</v>
      </c>
      <c r="M459" s="16"/>
      <c r="N459" s="16">
        <v>4.9000000000000004</v>
      </c>
      <c r="O459" s="16" t="str">
        <f>IF(electric_vehicles_spec_2025_csv[[#This Row],[acceleration_0_100_s]]&lt;4,"0–3.9 s",IF(electric_vehicles_spec_2025_csv[[#This Row],[acceleration_0_100_s]]&lt;6,"4.0–5.9 s",IF(electric_vehicles_spec_2025_csv[[#This Row],[acceleration_0_100_s]]&lt;8,"6.0–7.9 s","8.0+ s")))</f>
        <v>4.0–5.9 s</v>
      </c>
      <c r="P459" s="16">
        <v>150</v>
      </c>
      <c r="Q459" s="16" t="str">
        <f>IF(electric_vehicles_spec_2025_csv[[#This Row],[fast_charging_power_kw_dc]]&lt;50,"0–49 kW",IF(electric_vehicles_spec_2025_csv[[#This Row],[fast_charging_power_kw_dc]]&lt;100,"50–99 kW",IF(electric_vehicles_spec_2025_csv[[#This Row],[fast_charging_power_kw_dc]]&lt;150,"100–149 kW","150+ kW")))</f>
        <v>150+ kW</v>
      </c>
      <c r="R459" s="16" t="s">
        <v>25</v>
      </c>
      <c r="S459" s="16">
        <v>2200</v>
      </c>
      <c r="T459" s="16" t="s">
        <v>251</v>
      </c>
      <c r="U459" s="16">
        <v>7</v>
      </c>
      <c r="V459" s="16" t="s">
        <v>70</v>
      </c>
      <c r="W459" s="16" t="s">
        <v>239</v>
      </c>
      <c r="X459" s="16">
        <v>5037</v>
      </c>
      <c r="Y459" s="16">
        <v>1964</v>
      </c>
      <c r="Z459" s="16">
        <v>1744</v>
      </c>
      <c r="AA459" s="16" t="s">
        <v>36</v>
      </c>
      <c r="AB459" s="16" t="s">
        <v>1158</v>
      </c>
    </row>
    <row r="460" spans="1:28" x14ac:dyDescent="0.3">
      <c r="A460" s="16" t="s">
        <v>1159</v>
      </c>
      <c r="B460" s="16" t="s">
        <v>1160</v>
      </c>
      <c r="C460" s="16">
        <v>200</v>
      </c>
      <c r="D46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0" s="16">
        <v>100</v>
      </c>
      <c r="F460" s="16" t="str">
        <f>IF(electric_vehicles_spec_2025_csv[[#This Row],[battery_capacity_kWh]]&lt;=30, "0–30 kWh", IF(electric_vehicles_spec_2025_csv[[#This Row],[battery_capacity_kWh]]&lt;=60, "31–60 kWh", "61+ kWh"))</f>
        <v>61+ kWh</v>
      </c>
      <c r="G460" s="16" t="s">
        <v>24</v>
      </c>
      <c r="H460" s="16"/>
      <c r="I460" s="16">
        <v>720</v>
      </c>
      <c r="J460" s="16">
        <v>200</v>
      </c>
      <c r="K460" s="16" t="str">
        <f t="shared" si="7"/>
        <v>161+ Wh/km</v>
      </c>
      <c r="L460" s="16">
        <v>480</v>
      </c>
      <c r="M460" s="16"/>
      <c r="N460" s="16">
        <v>4.4000000000000004</v>
      </c>
      <c r="O460" s="16" t="str">
        <f>IF(electric_vehicles_spec_2025_csv[[#This Row],[acceleration_0_100_s]]&lt;4,"0–3.9 s",IF(electric_vehicles_spec_2025_csv[[#This Row],[acceleration_0_100_s]]&lt;6,"4.0–5.9 s",IF(electric_vehicles_spec_2025_csv[[#This Row],[acceleration_0_100_s]]&lt;8,"6.0–7.9 s","8.0+ s")))</f>
        <v>4.0–5.9 s</v>
      </c>
      <c r="P460" s="16">
        <v>80</v>
      </c>
      <c r="Q460" s="16" t="str">
        <f>IF(electric_vehicles_spec_2025_csv[[#This Row],[fast_charging_power_kw_dc]]&lt;50,"0–49 kW",IF(electric_vehicles_spec_2025_csv[[#This Row],[fast_charging_power_kw_dc]]&lt;100,"50–99 kW",IF(electric_vehicles_spec_2025_csv[[#This Row],[fast_charging_power_kw_dc]]&lt;150,"100–149 kW","150+ kW")))</f>
        <v>50–99 kW</v>
      </c>
      <c r="R460" s="16" t="s">
        <v>25</v>
      </c>
      <c r="S460" s="16">
        <v>2000</v>
      </c>
      <c r="T460" s="16" t="s">
        <v>458</v>
      </c>
      <c r="U460" s="16">
        <v>5</v>
      </c>
      <c r="V460" s="16" t="s">
        <v>70</v>
      </c>
      <c r="W460" s="16" t="s">
        <v>64</v>
      </c>
      <c r="X460" s="16">
        <v>4905</v>
      </c>
      <c r="Y460" s="16">
        <v>1950</v>
      </c>
      <c r="Z460" s="16">
        <v>1645</v>
      </c>
      <c r="AA460" s="16" t="s">
        <v>36</v>
      </c>
      <c r="AB460" s="16" t="s">
        <v>1161</v>
      </c>
    </row>
    <row r="461" spans="1:28" x14ac:dyDescent="0.3">
      <c r="A461" s="16" t="s">
        <v>1162</v>
      </c>
      <c r="B461" s="16" t="s">
        <v>1163</v>
      </c>
      <c r="C461" s="16">
        <v>200</v>
      </c>
      <c r="D46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1" s="16">
        <v>87.5</v>
      </c>
      <c r="F461" s="16" t="str">
        <f>IF(electric_vehicles_spec_2025_csv[[#This Row],[battery_capacity_kWh]]&lt;=30, "0–30 kWh", IF(electric_vehicles_spec_2025_csv[[#This Row],[battery_capacity_kWh]]&lt;=60, "31–60 kWh", "61+ kWh"))</f>
        <v>61+ kWh</v>
      </c>
      <c r="G461" s="16" t="s">
        <v>24</v>
      </c>
      <c r="H461" s="16"/>
      <c r="I461" s="16">
        <v>660</v>
      </c>
      <c r="J461" s="16">
        <v>159</v>
      </c>
      <c r="K461" s="16" t="str">
        <f t="shared" si="7"/>
        <v>131–160 Wh/km</v>
      </c>
      <c r="L461" s="16">
        <v>475</v>
      </c>
      <c r="M461" s="16"/>
      <c r="N461" s="16">
        <v>4.0999999999999996</v>
      </c>
      <c r="O461" s="16" t="str">
        <f>IF(electric_vehicles_spec_2025_csv[[#This Row],[acceleration_0_100_s]]&lt;4,"0–3.9 s",IF(electric_vehicles_spec_2025_csv[[#This Row],[acceleration_0_100_s]]&lt;6,"4.0–5.9 s",IF(electric_vehicles_spec_2025_csv[[#This Row],[acceleration_0_100_s]]&lt;8,"6.0–7.9 s","8.0+ s")))</f>
        <v>4.0–5.9 s</v>
      </c>
      <c r="P461" s="16">
        <v>180</v>
      </c>
      <c r="Q461" s="16" t="str">
        <f>IF(electric_vehicles_spec_2025_csv[[#This Row],[fast_charging_power_kw_dc]]&lt;50,"0–49 kW",IF(electric_vehicles_spec_2025_csv[[#This Row],[fast_charging_power_kw_dc]]&lt;100,"50–99 kW",IF(electric_vehicles_spec_2025_csv[[#This Row],[fast_charging_power_kw_dc]]&lt;150,"100–149 kW","150+ kW")))</f>
        <v>150+ kW</v>
      </c>
      <c r="R461" s="16" t="s">
        <v>25</v>
      </c>
      <c r="S461" s="16">
        <v>1500</v>
      </c>
      <c r="T461" s="16" t="s">
        <v>1164</v>
      </c>
      <c r="U461" s="16">
        <v>5</v>
      </c>
      <c r="V461" s="16" t="s">
        <v>70</v>
      </c>
      <c r="W461" s="16" t="s">
        <v>99</v>
      </c>
      <c r="X461" s="16">
        <v>4753</v>
      </c>
      <c r="Y461" s="16">
        <v>1920</v>
      </c>
      <c r="Z461" s="16">
        <v>1650</v>
      </c>
      <c r="AA461" s="16" t="s">
        <v>36</v>
      </c>
      <c r="AB461" s="16" t="s">
        <v>1165</v>
      </c>
    </row>
    <row r="462" spans="1:28" x14ac:dyDescent="0.3">
      <c r="A462" s="16" t="s">
        <v>1162</v>
      </c>
      <c r="B462" s="16" t="s">
        <v>1166</v>
      </c>
      <c r="C462" s="16">
        <v>200</v>
      </c>
      <c r="D46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2" s="16">
        <v>87.5</v>
      </c>
      <c r="F462" s="16" t="str">
        <f>IF(electric_vehicles_spec_2025_csv[[#This Row],[battery_capacity_kWh]]&lt;=30, "0–30 kWh", IF(electric_vehicles_spec_2025_csv[[#This Row],[battery_capacity_kWh]]&lt;=60, "31–60 kWh", "61+ kWh"))</f>
        <v>61+ kWh</v>
      </c>
      <c r="G462" s="16" t="s">
        <v>24</v>
      </c>
      <c r="H462" s="16"/>
      <c r="I462" s="16">
        <v>440</v>
      </c>
      <c r="J462" s="16">
        <v>154</v>
      </c>
      <c r="K462" s="16" t="str">
        <f t="shared" si="7"/>
        <v>131–160 Wh/km</v>
      </c>
      <c r="L462" s="16">
        <v>480</v>
      </c>
      <c r="M462" s="16"/>
      <c r="N462" s="16">
        <v>6.7</v>
      </c>
      <c r="O462" s="16" t="str">
        <f>IF(electric_vehicles_spec_2025_csv[[#This Row],[acceleration_0_100_s]]&lt;4,"0–3.9 s",IF(electric_vehicles_spec_2025_csv[[#This Row],[acceleration_0_100_s]]&lt;6,"4.0–5.9 s",IF(electric_vehicles_spec_2025_csv[[#This Row],[acceleration_0_100_s]]&lt;8,"6.0–7.9 s","8.0+ s")))</f>
        <v>6.0–7.9 s</v>
      </c>
      <c r="P462" s="16">
        <v>180</v>
      </c>
      <c r="Q462" s="16" t="str">
        <f>IF(electric_vehicles_spec_2025_csv[[#This Row],[fast_charging_power_kw_dc]]&lt;50,"0–49 kW",IF(electric_vehicles_spec_2025_csv[[#This Row],[fast_charging_power_kw_dc]]&lt;100,"50–99 kW",IF(electric_vehicles_spec_2025_csv[[#This Row],[fast_charging_power_kw_dc]]&lt;150,"100–149 kW","150+ kW")))</f>
        <v>150+ kW</v>
      </c>
      <c r="R462" s="16" t="s">
        <v>25</v>
      </c>
      <c r="S462" s="16">
        <v>1500</v>
      </c>
      <c r="T462" s="16" t="s">
        <v>1164</v>
      </c>
      <c r="U462" s="16">
        <v>5</v>
      </c>
      <c r="V462" s="16" t="s">
        <v>63</v>
      </c>
      <c r="W462" s="16" t="s">
        <v>99</v>
      </c>
      <c r="X462" s="16">
        <v>4753</v>
      </c>
      <c r="Y462" s="16">
        <v>1920</v>
      </c>
      <c r="Z462" s="16">
        <v>1650</v>
      </c>
      <c r="AA462" s="16" t="s">
        <v>36</v>
      </c>
      <c r="AB462" s="16" t="s">
        <v>1167</v>
      </c>
    </row>
    <row r="463" spans="1:28" x14ac:dyDescent="0.3">
      <c r="A463" s="16" t="s">
        <v>1162</v>
      </c>
      <c r="B463" s="16" t="s">
        <v>1168</v>
      </c>
      <c r="C463" s="16">
        <v>200</v>
      </c>
      <c r="D46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3" s="16">
        <v>66</v>
      </c>
      <c r="F463" s="16" t="str">
        <f>IF(electric_vehicles_spec_2025_csv[[#This Row],[battery_capacity_kWh]]&lt;=30, "0–30 kWh", IF(electric_vehicles_spec_2025_csv[[#This Row],[battery_capacity_kWh]]&lt;=60, "31–60 kWh", "61+ kWh"))</f>
        <v>61+ kWh</v>
      </c>
      <c r="G463" s="16" t="s">
        <v>24</v>
      </c>
      <c r="H463" s="16"/>
      <c r="I463" s="16">
        <v>440</v>
      </c>
      <c r="J463" s="16">
        <v>152</v>
      </c>
      <c r="K463" s="16" t="str">
        <f t="shared" si="7"/>
        <v>131–160 Wh/km</v>
      </c>
      <c r="L463" s="16">
        <v>370</v>
      </c>
      <c r="M463" s="16"/>
      <c r="N463" s="16">
        <v>6.9</v>
      </c>
      <c r="O463" s="16" t="str">
        <f>IF(electric_vehicles_spec_2025_csv[[#This Row],[acceleration_0_100_s]]&lt;4,"0–3.9 s",IF(electric_vehicles_spec_2025_csv[[#This Row],[acceleration_0_100_s]]&lt;6,"4.0–5.9 s",IF(electric_vehicles_spec_2025_csv[[#This Row],[acceleration_0_100_s]]&lt;8,"6.0–7.9 s","8.0+ s")))</f>
        <v>6.0–7.9 s</v>
      </c>
      <c r="P463" s="16">
        <v>140</v>
      </c>
      <c r="Q463" s="16" t="str">
        <f>IF(electric_vehicles_spec_2025_csv[[#This Row],[fast_charging_power_kw_dc]]&lt;50,"0–49 kW",IF(electric_vehicles_spec_2025_csv[[#This Row],[fast_charging_power_kw_dc]]&lt;100,"50–99 kW",IF(electric_vehicles_spec_2025_csv[[#This Row],[fast_charging_power_kw_dc]]&lt;150,"100–149 kW","150+ kW")))</f>
        <v>100–149 kW</v>
      </c>
      <c r="R463" s="16" t="s">
        <v>25</v>
      </c>
      <c r="S463" s="16">
        <v>1500</v>
      </c>
      <c r="T463" s="16" t="s">
        <v>1164</v>
      </c>
      <c r="U463" s="16">
        <v>5</v>
      </c>
      <c r="V463" s="16" t="s">
        <v>63</v>
      </c>
      <c r="W463" s="16" t="s">
        <v>99</v>
      </c>
      <c r="X463" s="16">
        <v>4753</v>
      </c>
      <c r="Y463" s="16">
        <v>1920</v>
      </c>
      <c r="Z463" s="16">
        <v>1650</v>
      </c>
      <c r="AA463" s="16" t="s">
        <v>36</v>
      </c>
      <c r="AB463" s="16" t="s">
        <v>1169</v>
      </c>
    </row>
    <row r="464" spans="1:28" x14ac:dyDescent="0.3">
      <c r="A464" s="16" t="s">
        <v>1162</v>
      </c>
      <c r="B464" s="16" t="s">
        <v>1170</v>
      </c>
      <c r="C464" s="16">
        <v>200</v>
      </c>
      <c r="D46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4" s="16">
        <v>93.1</v>
      </c>
      <c r="F464" s="16" t="str">
        <f>IF(electric_vehicles_spec_2025_csv[[#This Row],[battery_capacity_kWh]]&lt;=30, "0–30 kWh", IF(electric_vehicles_spec_2025_csv[[#This Row],[battery_capacity_kWh]]&lt;=60, "31–60 kWh", "61+ kWh"))</f>
        <v>61+ kWh</v>
      </c>
      <c r="G464" s="16" t="s">
        <v>24</v>
      </c>
      <c r="H464" s="16"/>
      <c r="I464" s="16">
        <v>717</v>
      </c>
      <c r="J464" s="16">
        <v>179</v>
      </c>
      <c r="K464" s="16" t="str">
        <f t="shared" si="7"/>
        <v>161+ Wh/km</v>
      </c>
      <c r="L464" s="16">
        <v>465</v>
      </c>
      <c r="M464" s="16"/>
      <c r="N464" s="16">
        <v>3.9</v>
      </c>
      <c r="O464" s="16" t="str">
        <f>IF(electric_vehicles_spec_2025_csv[[#This Row],[acceleration_0_100_s]]&lt;4,"0–3.9 s",IF(electric_vehicles_spec_2025_csv[[#This Row],[acceleration_0_100_s]]&lt;6,"4.0–5.9 s",IF(electric_vehicles_spec_2025_csv[[#This Row],[acceleration_0_100_s]]&lt;8,"6.0–7.9 s","8.0+ s")))</f>
        <v>0–3.9 s</v>
      </c>
      <c r="P464" s="16">
        <v>224</v>
      </c>
      <c r="Q464" s="16" t="str">
        <f>IF(electric_vehicles_spec_2025_csv[[#This Row],[fast_charging_power_kw_dc]]&lt;50,"0–49 kW",IF(electric_vehicles_spec_2025_csv[[#This Row],[fast_charging_power_kw_dc]]&lt;100,"50–99 kW",IF(electric_vehicles_spec_2025_csv[[#This Row],[fast_charging_power_kw_dc]]&lt;150,"100–149 kW","150+ kW")))</f>
        <v>150+ kW</v>
      </c>
      <c r="R464" s="16" t="s">
        <v>25</v>
      </c>
      <c r="S464" s="16">
        <v>1500</v>
      </c>
      <c r="T464" s="16" t="s">
        <v>1171</v>
      </c>
      <c r="U464" s="16">
        <v>5</v>
      </c>
      <c r="V464" s="16" t="s">
        <v>70</v>
      </c>
      <c r="W464" s="16" t="s">
        <v>64</v>
      </c>
      <c r="X464" s="16">
        <v>4891</v>
      </c>
      <c r="Y464" s="16">
        <v>1937</v>
      </c>
      <c r="Z464" s="16">
        <v>1670</v>
      </c>
      <c r="AA464" s="16" t="s">
        <v>36</v>
      </c>
      <c r="AB464" s="16" t="s">
        <v>1172</v>
      </c>
    </row>
    <row r="465" spans="1:28" x14ac:dyDescent="0.3">
      <c r="A465" s="16" t="s">
        <v>1162</v>
      </c>
      <c r="B465" s="16" t="s">
        <v>1173</v>
      </c>
      <c r="C465" s="16">
        <v>200</v>
      </c>
      <c r="D46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5" s="16">
        <v>93.1</v>
      </c>
      <c r="F465" s="16" t="str">
        <f>IF(electric_vehicles_spec_2025_csv[[#This Row],[battery_capacity_kWh]]&lt;=30, "0–30 kWh", IF(electric_vehicles_spec_2025_csv[[#This Row],[battery_capacity_kWh]]&lt;=60, "31–60 kWh", "61+ kWh"))</f>
        <v>61+ kWh</v>
      </c>
      <c r="G465" s="16" t="s">
        <v>24</v>
      </c>
      <c r="H465" s="16"/>
      <c r="I465" s="16">
        <v>430</v>
      </c>
      <c r="J465" s="16">
        <v>163</v>
      </c>
      <c r="K465" s="16" t="str">
        <f t="shared" si="7"/>
        <v>161+ Wh/km</v>
      </c>
      <c r="L465" s="16">
        <v>480</v>
      </c>
      <c r="M465" s="16"/>
      <c r="N465" s="16">
        <v>6.4</v>
      </c>
      <c r="O465" s="16" t="str">
        <f>IF(electric_vehicles_spec_2025_csv[[#This Row],[acceleration_0_100_s]]&lt;4,"0–3.9 s",IF(electric_vehicles_spec_2025_csv[[#This Row],[acceleration_0_100_s]]&lt;6,"4.0–5.9 s",IF(electric_vehicles_spec_2025_csv[[#This Row],[acceleration_0_100_s]]&lt;8,"6.0–7.9 s","8.0+ s")))</f>
        <v>6.0–7.9 s</v>
      </c>
      <c r="P465" s="16">
        <v>224</v>
      </c>
      <c r="Q465" s="16" t="str">
        <f>IF(electric_vehicles_spec_2025_csv[[#This Row],[fast_charging_power_kw_dc]]&lt;50,"0–49 kW",IF(electric_vehicles_spec_2025_csv[[#This Row],[fast_charging_power_kw_dc]]&lt;100,"50–99 kW",IF(electric_vehicles_spec_2025_csv[[#This Row],[fast_charging_power_kw_dc]]&lt;150,"100–149 kW","150+ kW")))</f>
        <v>150+ kW</v>
      </c>
      <c r="R465" s="16" t="s">
        <v>25</v>
      </c>
      <c r="S465" s="16">
        <v>1500</v>
      </c>
      <c r="T465" s="16" t="s">
        <v>1171</v>
      </c>
      <c r="U465" s="16">
        <v>5</v>
      </c>
      <c r="V465" s="16" t="s">
        <v>63</v>
      </c>
      <c r="W465" s="16" t="s">
        <v>64</v>
      </c>
      <c r="X465" s="16">
        <v>4891</v>
      </c>
      <c r="Y465" s="16">
        <v>1937</v>
      </c>
      <c r="Z465" s="16">
        <v>1670</v>
      </c>
      <c r="AA465" s="16" t="s">
        <v>36</v>
      </c>
      <c r="AB465" s="16" t="s">
        <v>1174</v>
      </c>
    </row>
    <row r="466" spans="1:28" x14ac:dyDescent="0.3">
      <c r="A466" s="16" t="s">
        <v>1162</v>
      </c>
      <c r="B466" s="16" t="s">
        <v>1175</v>
      </c>
      <c r="C466" s="16">
        <v>200</v>
      </c>
      <c r="D46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6" s="16">
        <v>75.8</v>
      </c>
      <c r="F466" s="16" t="str">
        <f>IF(electric_vehicles_spec_2025_csv[[#This Row],[battery_capacity_kWh]]&lt;=30, "0–30 kWh", IF(electric_vehicles_spec_2025_csv[[#This Row],[battery_capacity_kWh]]&lt;=60, "31–60 kWh", "61+ kWh"))</f>
        <v>61+ kWh</v>
      </c>
      <c r="G466" s="16" t="s">
        <v>24</v>
      </c>
      <c r="H466" s="16"/>
      <c r="I466" s="16">
        <v>430</v>
      </c>
      <c r="J466" s="16">
        <v>165</v>
      </c>
      <c r="K466" s="16" t="str">
        <f t="shared" si="7"/>
        <v>161+ Wh/km</v>
      </c>
      <c r="L466" s="16">
        <v>395</v>
      </c>
      <c r="M466" s="16"/>
      <c r="N466" s="16">
        <v>6.4</v>
      </c>
      <c r="O466" s="16" t="str">
        <f>IF(electric_vehicles_spec_2025_csv[[#This Row],[acceleration_0_100_s]]&lt;4,"0–3.9 s",IF(electric_vehicles_spec_2025_csv[[#This Row],[acceleration_0_100_s]]&lt;6,"4.0–5.9 s",IF(electric_vehicles_spec_2025_csv[[#This Row],[acceleration_0_100_s]]&lt;8,"6.0–7.9 s","8.0+ s")))</f>
        <v>6.0–7.9 s</v>
      </c>
      <c r="P466" s="16">
        <v>170</v>
      </c>
      <c r="Q466" s="16" t="str">
        <f>IF(electric_vehicles_spec_2025_csv[[#This Row],[fast_charging_power_kw_dc]]&lt;50,"0–49 kW",IF(electric_vehicles_spec_2025_csv[[#This Row],[fast_charging_power_kw_dc]]&lt;100,"50–99 kW",IF(electric_vehicles_spec_2025_csv[[#This Row],[fast_charging_power_kw_dc]]&lt;150,"100–149 kW","150+ kW")))</f>
        <v>150+ kW</v>
      </c>
      <c r="R466" s="16" t="s">
        <v>25</v>
      </c>
      <c r="S466" s="16">
        <v>1500</v>
      </c>
      <c r="T466" s="16" t="s">
        <v>1171</v>
      </c>
      <c r="U466" s="16">
        <v>5</v>
      </c>
      <c r="V466" s="16" t="s">
        <v>63</v>
      </c>
      <c r="W466" s="16" t="s">
        <v>64</v>
      </c>
      <c r="X466" s="16">
        <v>4891</v>
      </c>
      <c r="Y466" s="16">
        <v>1937</v>
      </c>
      <c r="Z466" s="16">
        <v>1680</v>
      </c>
      <c r="AA466" s="16" t="s">
        <v>36</v>
      </c>
      <c r="AB466" s="16" t="s">
        <v>1176</v>
      </c>
    </row>
    <row r="467" spans="1:28" x14ac:dyDescent="0.3">
      <c r="A467" s="16" t="s">
        <v>1162</v>
      </c>
      <c r="B467" s="16" t="s">
        <v>1177</v>
      </c>
      <c r="C467" s="16">
        <v>200</v>
      </c>
      <c r="D46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7" s="16">
        <v>82.7</v>
      </c>
      <c r="F467" s="16" t="str">
        <f>IF(electric_vehicles_spec_2025_csv[[#This Row],[battery_capacity_kWh]]&lt;=30, "0–30 kWh", IF(electric_vehicles_spec_2025_csv[[#This Row],[battery_capacity_kWh]]&lt;=60, "31–60 kWh", "61+ kWh"))</f>
        <v>61+ kWh</v>
      </c>
      <c r="G467" s="16" t="s">
        <v>24</v>
      </c>
      <c r="H467" s="16"/>
      <c r="I467" s="16">
        <v>757</v>
      </c>
      <c r="J467" s="16">
        <v>164</v>
      </c>
      <c r="K467" s="16" t="str">
        <f t="shared" si="7"/>
        <v>161+ Wh/km</v>
      </c>
      <c r="L467" s="16">
        <v>460</v>
      </c>
      <c r="M467" s="16"/>
      <c r="N467" s="16">
        <v>4.0999999999999996</v>
      </c>
      <c r="O467" s="16" t="str">
        <f>IF(electric_vehicles_spec_2025_csv[[#This Row],[acceleration_0_100_s]]&lt;4,"0–3.9 s",IF(electric_vehicles_spec_2025_csv[[#This Row],[acceleration_0_100_s]]&lt;6,"4.0–5.9 s",IF(electric_vehicles_spec_2025_csv[[#This Row],[acceleration_0_100_s]]&lt;8,"6.0–7.9 s","8.0+ s")))</f>
        <v>4.0–5.9 s</v>
      </c>
      <c r="P467" s="16">
        <v>138</v>
      </c>
      <c r="Q467" s="16" t="str">
        <f>IF(electric_vehicles_spec_2025_csv[[#This Row],[fast_charging_power_kw_dc]]&lt;50,"0–49 kW",IF(electric_vehicles_spec_2025_csv[[#This Row],[fast_charging_power_kw_dc]]&lt;100,"50–99 kW",IF(electric_vehicles_spec_2025_csv[[#This Row],[fast_charging_power_kw_dc]]&lt;150,"100–149 kW","150+ kW")))</f>
        <v>100–149 kW</v>
      </c>
      <c r="R467" s="16" t="s">
        <v>25</v>
      </c>
      <c r="S467" s="16">
        <v>0</v>
      </c>
      <c r="T467" s="16" t="s">
        <v>186</v>
      </c>
      <c r="U467" s="16">
        <v>5</v>
      </c>
      <c r="V467" s="16" t="s">
        <v>70</v>
      </c>
      <c r="W467" s="16" t="s">
        <v>147</v>
      </c>
      <c r="X467" s="16">
        <v>4888</v>
      </c>
      <c r="Y467" s="16">
        <v>1896</v>
      </c>
      <c r="Z467" s="16">
        <v>1450</v>
      </c>
      <c r="AA467" s="16" t="s">
        <v>125</v>
      </c>
      <c r="AB467" s="16" t="s">
        <v>1178</v>
      </c>
    </row>
    <row r="468" spans="1:28" x14ac:dyDescent="0.3">
      <c r="A468" s="16" t="s">
        <v>1162</v>
      </c>
      <c r="B468" s="16" t="s">
        <v>1179</v>
      </c>
      <c r="C468" s="16">
        <v>200</v>
      </c>
      <c r="D46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8" s="16">
        <v>82.7</v>
      </c>
      <c r="F468" s="16" t="str">
        <f>IF(electric_vehicles_spec_2025_csv[[#This Row],[battery_capacity_kWh]]&lt;=30, "0–30 kWh", IF(electric_vehicles_spec_2025_csv[[#This Row],[battery_capacity_kWh]]&lt;=60, "31–60 kWh", "61+ kWh"))</f>
        <v>61+ kWh</v>
      </c>
      <c r="G468" s="16" t="s">
        <v>24</v>
      </c>
      <c r="H468" s="16"/>
      <c r="I468" s="16">
        <v>440</v>
      </c>
      <c r="J468" s="16">
        <v>144</v>
      </c>
      <c r="K468" s="16" t="str">
        <f t="shared" si="7"/>
        <v>131–160 Wh/km</v>
      </c>
      <c r="L468" s="16">
        <v>495</v>
      </c>
      <c r="M468" s="16"/>
      <c r="N468" s="16">
        <v>6.7</v>
      </c>
      <c r="O468" s="16" t="str">
        <f>IF(electric_vehicles_spec_2025_csv[[#This Row],[acceleration_0_100_s]]&lt;4,"0–3.9 s",IF(electric_vehicles_spec_2025_csv[[#This Row],[acceleration_0_100_s]]&lt;6,"4.0–5.9 s",IF(electric_vehicles_spec_2025_csv[[#This Row],[acceleration_0_100_s]]&lt;8,"6.0–7.9 s","8.0+ s")))</f>
        <v>6.0–7.9 s</v>
      </c>
      <c r="P468" s="16">
        <v>138</v>
      </c>
      <c r="Q468" s="16" t="str">
        <f>IF(electric_vehicles_spec_2025_csv[[#This Row],[fast_charging_power_kw_dc]]&lt;50,"0–49 kW",IF(electric_vehicles_spec_2025_csv[[#This Row],[fast_charging_power_kw_dc]]&lt;100,"50–99 kW",IF(electric_vehicles_spec_2025_csv[[#This Row],[fast_charging_power_kw_dc]]&lt;150,"100–149 kW","150+ kW")))</f>
        <v>100–149 kW</v>
      </c>
      <c r="R468" s="16" t="s">
        <v>25</v>
      </c>
      <c r="S468" s="16">
        <v>0</v>
      </c>
      <c r="T468" s="16" t="s">
        <v>186</v>
      </c>
      <c r="U468" s="16">
        <v>5</v>
      </c>
      <c r="V468" s="16" t="s">
        <v>63</v>
      </c>
      <c r="W468" s="16" t="s">
        <v>147</v>
      </c>
      <c r="X468" s="16">
        <v>4888</v>
      </c>
      <c r="Y468" s="16">
        <v>1896</v>
      </c>
      <c r="Z468" s="16">
        <v>1450</v>
      </c>
      <c r="AA468" s="16" t="s">
        <v>125</v>
      </c>
      <c r="AB468" s="16" t="s">
        <v>1180</v>
      </c>
    </row>
    <row r="469" spans="1:28" x14ac:dyDescent="0.3">
      <c r="A469" s="16" t="s">
        <v>1162</v>
      </c>
      <c r="B469" s="16" t="s">
        <v>1181</v>
      </c>
      <c r="C469" s="16">
        <v>200</v>
      </c>
      <c r="D46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69" s="16">
        <v>82.7</v>
      </c>
      <c r="F469" s="16" t="str">
        <f>IF(electric_vehicles_spec_2025_csv[[#This Row],[battery_capacity_kWh]]&lt;=30, "0–30 kWh", IF(electric_vehicles_spec_2025_csv[[#This Row],[battery_capacity_kWh]]&lt;=60, "31–60 kWh", "61+ kWh"))</f>
        <v>61+ kWh</v>
      </c>
      <c r="G469" s="16" t="s">
        <v>24</v>
      </c>
      <c r="H469" s="16"/>
      <c r="I469" s="16">
        <v>757</v>
      </c>
      <c r="J469" s="16">
        <v>164</v>
      </c>
      <c r="K469" s="16" t="str">
        <f t="shared" si="7"/>
        <v>161+ Wh/km</v>
      </c>
      <c r="L469" s="16">
        <v>455</v>
      </c>
      <c r="M469" s="16"/>
      <c r="N469" s="16">
        <v>4.0999999999999996</v>
      </c>
      <c r="O469" s="16" t="str">
        <f>IF(electric_vehicles_spec_2025_csv[[#This Row],[acceleration_0_100_s]]&lt;4,"0–3.9 s",IF(electric_vehicles_spec_2025_csv[[#This Row],[acceleration_0_100_s]]&lt;6,"4.0–5.9 s",IF(electric_vehicles_spec_2025_csv[[#This Row],[acceleration_0_100_s]]&lt;8,"6.0–7.9 s","8.0+ s")))</f>
        <v>4.0–5.9 s</v>
      </c>
      <c r="P469" s="16">
        <v>138</v>
      </c>
      <c r="Q469" s="16" t="str">
        <f>IF(electric_vehicles_spec_2025_csv[[#This Row],[fast_charging_power_kw_dc]]&lt;50,"0–49 kW",IF(electric_vehicles_spec_2025_csv[[#This Row],[fast_charging_power_kw_dc]]&lt;100,"50–99 kW",IF(electric_vehicles_spec_2025_csv[[#This Row],[fast_charging_power_kw_dc]]&lt;150,"100–149 kW","150+ kW")))</f>
        <v>100–149 kW</v>
      </c>
      <c r="R469" s="16" t="s">
        <v>25</v>
      </c>
      <c r="S469" s="16">
        <v>0</v>
      </c>
      <c r="T469" s="16" t="s">
        <v>186</v>
      </c>
      <c r="U469" s="16">
        <v>5</v>
      </c>
      <c r="V469" s="16" t="s">
        <v>70</v>
      </c>
      <c r="W469" s="16" t="s">
        <v>147</v>
      </c>
      <c r="X469" s="16">
        <v>4888</v>
      </c>
      <c r="Y469" s="16">
        <v>1896</v>
      </c>
      <c r="Z469" s="16">
        <v>1450</v>
      </c>
      <c r="AA469" s="16" t="s">
        <v>125</v>
      </c>
      <c r="AB469" s="16" t="s">
        <v>1182</v>
      </c>
    </row>
    <row r="470" spans="1:28" x14ac:dyDescent="0.3">
      <c r="A470" s="16" t="s">
        <v>1183</v>
      </c>
      <c r="B470" s="16" t="s">
        <v>1184</v>
      </c>
      <c r="C470" s="16">
        <v>200</v>
      </c>
      <c r="D470"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70" s="16">
        <v>94</v>
      </c>
      <c r="F470" s="16" t="str">
        <f>IF(electric_vehicles_spec_2025_csv[[#This Row],[battery_capacity_kWh]]&lt;=30, "0–30 kWh", IF(electric_vehicles_spec_2025_csv[[#This Row],[battery_capacity_kWh]]&lt;=60, "31–60 kWh", "61+ kWh"))</f>
        <v>61+ kWh</v>
      </c>
      <c r="G470" s="16" t="s">
        <v>24</v>
      </c>
      <c r="H470" s="16">
        <v>110</v>
      </c>
      <c r="I470" s="16">
        <v>343</v>
      </c>
      <c r="J470" s="16">
        <v>152</v>
      </c>
      <c r="K470" s="16" t="str">
        <f t="shared" si="7"/>
        <v>131–160 Wh/km</v>
      </c>
      <c r="L470" s="16">
        <v>505</v>
      </c>
      <c r="M470" s="16"/>
      <c r="N470" s="16">
        <v>7.2</v>
      </c>
      <c r="O470" s="16" t="str">
        <f>IF(electric_vehicles_spec_2025_csv[[#This Row],[acceleration_0_100_s]]&lt;4,"0–3.9 s",IF(electric_vehicles_spec_2025_csv[[#This Row],[acceleration_0_100_s]]&lt;6,"4.0–5.9 s",IF(electric_vehicles_spec_2025_csv[[#This Row],[acceleration_0_100_s]]&lt;8,"6.0–7.9 s","8.0+ s")))</f>
        <v>6.0–7.9 s</v>
      </c>
      <c r="P470" s="16">
        <v>135</v>
      </c>
      <c r="Q470" s="16" t="str">
        <f>IF(electric_vehicles_spec_2025_csv[[#This Row],[fast_charging_power_kw_dc]]&lt;50,"0–49 kW",IF(electric_vehicles_spec_2025_csv[[#This Row],[fast_charging_power_kw_dc]]&lt;100,"50–99 kW",IF(electric_vehicles_spec_2025_csv[[#This Row],[fast_charging_power_kw_dc]]&lt;150,"100–149 kW","150+ kW")))</f>
        <v>100–149 kW</v>
      </c>
      <c r="R470" s="16" t="s">
        <v>25</v>
      </c>
      <c r="S470" s="16">
        <v>1500</v>
      </c>
      <c r="T470" s="16" t="s">
        <v>1185</v>
      </c>
      <c r="U470" s="16">
        <v>5</v>
      </c>
      <c r="V470" s="16" t="s">
        <v>63</v>
      </c>
      <c r="W470" s="16" t="s">
        <v>147</v>
      </c>
      <c r="X470" s="16">
        <v>4955</v>
      </c>
      <c r="Y470" s="16">
        <v>1999</v>
      </c>
      <c r="Z470" s="16">
        <v>1560</v>
      </c>
      <c r="AA470" s="16" t="s">
        <v>73</v>
      </c>
      <c r="AB470" s="16" t="s">
        <v>1186</v>
      </c>
    </row>
    <row r="471" spans="1:28" x14ac:dyDescent="0.3">
      <c r="A471" s="16" t="s">
        <v>1183</v>
      </c>
      <c r="B471" s="16" t="s">
        <v>1187</v>
      </c>
      <c r="C471" s="16">
        <v>200</v>
      </c>
      <c r="D471"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71" s="16">
        <v>94</v>
      </c>
      <c r="F471" s="16" t="str">
        <f>IF(electric_vehicles_spec_2025_csv[[#This Row],[battery_capacity_kWh]]&lt;=30, "0–30 kWh", IF(electric_vehicles_spec_2025_csv[[#This Row],[battery_capacity_kWh]]&lt;=60, "31–60 kWh", "61+ kWh"))</f>
        <v>61+ kWh</v>
      </c>
      <c r="G471" s="16" t="s">
        <v>24</v>
      </c>
      <c r="H471" s="16">
        <v>110</v>
      </c>
      <c r="I471" s="16">
        <v>686</v>
      </c>
      <c r="J471" s="16">
        <v>159</v>
      </c>
      <c r="K471" s="16" t="str">
        <f t="shared" si="7"/>
        <v>131–160 Wh/km</v>
      </c>
      <c r="L471" s="16">
        <v>480</v>
      </c>
      <c r="M471" s="16"/>
      <c r="N471" s="16">
        <v>3.8</v>
      </c>
      <c r="O471" s="16" t="str">
        <f>IF(electric_vehicles_spec_2025_csv[[#This Row],[acceleration_0_100_s]]&lt;4,"0–3.9 s",IF(electric_vehicles_spec_2025_csv[[#This Row],[acceleration_0_100_s]]&lt;6,"4.0–5.9 s",IF(electric_vehicles_spec_2025_csv[[#This Row],[acceleration_0_100_s]]&lt;8,"6.0–7.9 s","8.0+ s")))</f>
        <v>0–3.9 s</v>
      </c>
      <c r="P471" s="16">
        <v>135</v>
      </c>
      <c r="Q471" s="16" t="str">
        <f>IF(electric_vehicles_spec_2025_csv[[#This Row],[fast_charging_power_kw_dc]]&lt;50,"0–49 kW",IF(electric_vehicles_spec_2025_csv[[#This Row],[fast_charging_power_kw_dc]]&lt;100,"50–99 kW",IF(electric_vehicles_spec_2025_csv[[#This Row],[fast_charging_power_kw_dc]]&lt;150,"100–149 kW","150+ kW")))</f>
        <v>100–149 kW</v>
      </c>
      <c r="R471" s="16" t="s">
        <v>25</v>
      </c>
      <c r="S471" s="16">
        <v>2000</v>
      </c>
      <c r="T471" s="16" t="s">
        <v>1185</v>
      </c>
      <c r="U471" s="16">
        <v>5</v>
      </c>
      <c r="V471" s="16" t="s">
        <v>70</v>
      </c>
      <c r="W471" s="16" t="s">
        <v>147</v>
      </c>
      <c r="X471" s="16">
        <v>4955</v>
      </c>
      <c r="Y471" s="16">
        <v>1999</v>
      </c>
      <c r="Z471" s="16">
        <v>1560</v>
      </c>
      <c r="AA471" s="16" t="s">
        <v>73</v>
      </c>
      <c r="AB471" s="16" t="s">
        <v>1188</v>
      </c>
    </row>
    <row r="472" spans="1:28" x14ac:dyDescent="0.3">
      <c r="A472" s="16" t="s">
        <v>1183</v>
      </c>
      <c r="B472" s="16" t="s">
        <v>1189</v>
      </c>
      <c r="C472" s="16">
        <v>200</v>
      </c>
      <c r="D472"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72" s="16">
        <v>94</v>
      </c>
      <c r="F472" s="16" t="str">
        <f>IF(electric_vehicles_spec_2025_csv[[#This Row],[battery_capacity_kWh]]&lt;=30, "0–30 kWh", IF(electric_vehicles_spec_2025_csv[[#This Row],[battery_capacity_kWh]]&lt;=60, "31–60 kWh", "61+ kWh"))</f>
        <v>61+ kWh</v>
      </c>
      <c r="G472" s="16" t="s">
        <v>24</v>
      </c>
      <c r="H472" s="16">
        <v>110</v>
      </c>
      <c r="I472" s="16">
        <v>686</v>
      </c>
      <c r="J472" s="16">
        <v>162</v>
      </c>
      <c r="K472" s="16" t="str">
        <f t="shared" si="7"/>
        <v>161+ Wh/km</v>
      </c>
      <c r="L472" s="16">
        <v>480</v>
      </c>
      <c r="M472" s="16"/>
      <c r="N472" s="16">
        <v>3.8</v>
      </c>
      <c r="O472" s="16" t="str">
        <f>IF(electric_vehicles_spec_2025_csv[[#This Row],[acceleration_0_100_s]]&lt;4,"0–3.9 s",IF(electric_vehicles_spec_2025_csv[[#This Row],[acceleration_0_100_s]]&lt;6,"4.0–5.9 s",IF(electric_vehicles_spec_2025_csv[[#This Row],[acceleration_0_100_s]]&lt;8,"6.0–7.9 s","8.0+ s")))</f>
        <v>0–3.9 s</v>
      </c>
      <c r="P472" s="16">
        <v>135</v>
      </c>
      <c r="Q472" s="16" t="str">
        <f>IF(electric_vehicles_spec_2025_csv[[#This Row],[fast_charging_power_kw_dc]]&lt;50,"0–49 kW",IF(electric_vehicles_spec_2025_csv[[#This Row],[fast_charging_power_kw_dc]]&lt;100,"50–99 kW",IF(electric_vehicles_spec_2025_csv[[#This Row],[fast_charging_power_kw_dc]]&lt;150,"100–149 kW","150+ kW")))</f>
        <v>100–149 kW</v>
      </c>
      <c r="R472" s="16" t="s">
        <v>25</v>
      </c>
      <c r="S472" s="16">
        <v>2000</v>
      </c>
      <c r="T472" s="16" t="s">
        <v>1185</v>
      </c>
      <c r="U472" s="16">
        <v>5</v>
      </c>
      <c r="V472" s="16" t="s">
        <v>70</v>
      </c>
      <c r="W472" s="16" t="s">
        <v>147</v>
      </c>
      <c r="X472" s="16">
        <v>4955</v>
      </c>
      <c r="Y472" s="16">
        <v>1999</v>
      </c>
      <c r="Z472" s="16">
        <v>1548</v>
      </c>
      <c r="AA472" s="16" t="s">
        <v>73</v>
      </c>
      <c r="AB472" s="16" t="s">
        <v>1190</v>
      </c>
    </row>
    <row r="473" spans="1:28" x14ac:dyDescent="0.3">
      <c r="A473" s="16" t="s">
        <v>1183</v>
      </c>
      <c r="B473" s="16" t="s">
        <v>1191</v>
      </c>
      <c r="C473" s="16">
        <v>210</v>
      </c>
      <c r="D473"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73" s="16">
        <v>94</v>
      </c>
      <c r="F473" s="16" t="str">
        <f>IF(electric_vehicles_spec_2025_csv[[#This Row],[battery_capacity_kWh]]&lt;=30, "0–30 kWh", IF(electric_vehicles_spec_2025_csv[[#This Row],[battery_capacity_kWh]]&lt;=60, "31–60 kWh", "61+ kWh"))</f>
        <v>61+ kWh</v>
      </c>
      <c r="G473" s="16" t="s">
        <v>24</v>
      </c>
      <c r="H473" s="16"/>
      <c r="I473" s="16">
        <v>440</v>
      </c>
      <c r="J473" s="16">
        <v>153</v>
      </c>
      <c r="K473" s="16" t="str">
        <f t="shared" si="7"/>
        <v>131–160 Wh/km</v>
      </c>
      <c r="L473" s="16">
        <v>475</v>
      </c>
      <c r="M473" s="16"/>
      <c r="N473" s="16">
        <v>6</v>
      </c>
      <c r="O473" s="16" t="str">
        <f>IF(electric_vehicles_spec_2025_csv[[#This Row],[acceleration_0_100_s]]&lt;4,"0–3.9 s",IF(electric_vehicles_spec_2025_csv[[#This Row],[acceleration_0_100_s]]&lt;6,"4.0–5.9 s",IF(electric_vehicles_spec_2025_csv[[#This Row],[acceleration_0_100_s]]&lt;8,"6.0–7.9 s","8.0+ s")))</f>
        <v>6.0–7.9 s</v>
      </c>
      <c r="P473" s="16">
        <v>260</v>
      </c>
      <c r="Q473" s="16" t="str">
        <f>IF(electric_vehicles_spec_2025_csv[[#This Row],[fast_charging_power_kw_dc]]&lt;50,"0–49 kW",IF(electric_vehicles_spec_2025_csv[[#This Row],[fast_charging_power_kw_dc]]&lt;100,"50–99 kW",IF(electric_vehicles_spec_2025_csv[[#This Row],[fast_charging_power_kw_dc]]&lt;150,"100–149 kW","150+ kW")))</f>
        <v>150+ kW</v>
      </c>
      <c r="R473" s="16" t="s">
        <v>25</v>
      </c>
      <c r="S473" s="16">
        <v>2000</v>
      </c>
      <c r="T473" s="16" t="s">
        <v>1185</v>
      </c>
      <c r="U473" s="16">
        <v>5</v>
      </c>
      <c r="V473" s="16" t="s">
        <v>63</v>
      </c>
      <c r="W473" s="16" t="s">
        <v>99</v>
      </c>
      <c r="X473" s="16">
        <v>4787</v>
      </c>
      <c r="Y473" s="16">
        <v>1930</v>
      </c>
      <c r="Z473" s="16">
        <v>1650</v>
      </c>
      <c r="AA473" s="16" t="s">
        <v>36</v>
      </c>
      <c r="AB473" s="16" t="s">
        <v>1192</v>
      </c>
    </row>
    <row r="474" spans="1:28" x14ac:dyDescent="0.3">
      <c r="A474" s="16" t="s">
        <v>1183</v>
      </c>
      <c r="B474" s="16" t="s">
        <v>1193</v>
      </c>
      <c r="C474" s="16">
        <v>210</v>
      </c>
      <c r="D474"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74" s="16">
        <v>94</v>
      </c>
      <c r="F474" s="16" t="str">
        <f>IF(electric_vehicles_spec_2025_csv[[#This Row],[battery_capacity_kWh]]&lt;=30, "0–30 kWh", IF(electric_vehicles_spec_2025_csv[[#This Row],[battery_capacity_kWh]]&lt;=60, "31–60 kWh", "61+ kWh"))</f>
        <v>61+ kWh</v>
      </c>
      <c r="G474" s="16" t="s">
        <v>24</v>
      </c>
      <c r="H474" s="16"/>
      <c r="I474" s="16">
        <v>710</v>
      </c>
      <c r="J474" s="16">
        <v>173</v>
      </c>
      <c r="K474" s="16" t="str">
        <f t="shared" si="7"/>
        <v>161+ Wh/km</v>
      </c>
      <c r="L474" s="16">
        <v>450</v>
      </c>
      <c r="M474" s="16"/>
      <c r="N474" s="16">
        <v>3.8</v>
      </c>
      <c r="O474" s="16" t="str">
        <f>IF(electric_vehicles_spec_2025_csv[[#This Row],[acceleration_0_100_s]]&lt;4,"0–3.9 s",IF(electric_vehicles_spec_2025_csv[[#This Row],[acceleration_0_100_s]]&lt;6,"4.0–5.9 s",IF(electric_vehicles_spec_2025_csv[[#This Row],[acceleration_0_100_s]]&lt;8,"6.0–7.9 s","8.0+ s")))</f>
        <v>0–3.9 s</v>
      </c>
      <c r="P474" s="16">
        <v>260</v>
      </c>
      <c r="Q474" s="16" t="str">
        <f>IF(electric_vehicles_spec_2025_csv[[#This Row],[fast_charging_power_kw_dc]]&lt;50,"0–49 kW",IF(electric_vehicles_spec_2025_csv[[#This Row],[fast_charging_power_kw_dc]]&lt;100,"50–99 kW",IF(electric_vehicles_spec_2025_csv[[#This Row],[fast_charging_power_kw_dc]]&lt;150,"100–149 kW","150+ kW")))</f>
        <v>150+ kW</v>
      </c>
      <c r="R474" s="16" t="s">
        <v>25</v>
      </c>
      <c r="S474" s="16">
        <v>2000</v>
      </c>
      <c r="T474" s="16" t="s">
        <v>1185</v>
      </c>
      <c r="U474" s="16">
        <v>5</v>
      </c>
      <c r="V474" s="16" t="s">
        <v>70</v>
      </c>
      <c r="W474" s="16" t="s">
        <v>99</v>
      </c>
      <c r="X474" s="16">
        <v>4787</v>
      </c>
      <c r="Y474" s="16">
        <v>1930</v>
      </c>
      <c r="Z474" s="16">
        <v>1650</v>
      </c>
      <c r="AA474" s="16" t="s">
        <v>36</v>
      </c>
      <c r="AB474" s="16" t="s">
        <v>1194</v>
      </c>
    </row>
    <row r="475" spans="1:28" x14ac:dyDescent="0.3">
      <c r="A475" s="16" t="s">
        <v>1183</v>
      </c>
      <c r="B475" s="16" t="s">
        <v>1195</v>
      </c>
      <c r="C475" s="16">
        <v>210</v>
      </c>
      <c r="D475"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200–224 km/h</v>
      </c>
      <c r="E475" s="16">
        <v>71</v>
      </c>
      <c r="F475" s="16" t="str">
        <f>IF(electric_vehicles_spec_2025_csv[[#This Row],[battery_capacity_kWh]]&lt;=30, "0–30 kWh", IF(electric_vehicles_spec_2025_csv[[#This Row],[battery_capacity_kWh]]&lt;=60, "31–60 kWh", "61+ kWh"))</f>
        <v>61+ kWh</v>
      </c>
      <c r="G475" s="16" t="s">
        <v>24</v>
      </c>
      <c r="H475" s="16"/>
      <c r="I475" s="16">
        <v>440</v>
      </c>
      <c r="J475" s="16">
        <v>148</v>
      </c>
      <c r="K475" s="16" t="str">
        <f t="shared" si="7"/>
        <v>131–160 Wh/km</v>
      </c>
      <c r="L475" s="16">
        <v>365</v>
      </c>
      <c r="M475" s="16"/>
      <c r="N475" s="16">
        <v>6</v>
      </c>
      <c r="O475" s="16" t="str">
        <f>IF(electric_vehicles_spec_2025_csv[[#This Row],[acceleration_0_100_s]]&lt;4,"0–3.9 s",IF(electric_vehicles_spec_2025_csv[[#This Row],[acceleration_0_100_s]]&lt;6,"4.0–5.9 s",IF(electric_vehicles_spec_2025_csv[[#This Row],[acceleration_0_100_s]]&lt;8,"6.0–7.9 s","8.0+ s")))</f>
        <v>6.0–7.9 s</v>
      </c>
      <c r="P475" s="16">
        <v>240</v>
      </c>
      <c r="Q475" s="16" t="str">
        <f>IF(electric_vehicles_spec_2025_csv[[#This Row],[fast_charging_power_kw_dc]]&lt;50,"0–49 kW",IF(electric_vehicles_spec_2025_csv[[#This Row],[fast_charging_power_kw_dc]]&lt;100,"50–99 kW",IF(electric_vehicles_spec_2025_csv[[#This Row],[fast_charging_power_kw_dc]]&lt;150,"100–149 kW","150+ kW")))</f>
        <v>150+ kW</v>
      </c>
      <c r="R475" s="16" t="s">
        <v>25</v>
      </c>
      <c r="S475" s="16">
        <v>2000</v>
      </c>
      <c r="T475" s="16" t="s">
        <v>1185</v>
      </c>
      <c r="U475" s="16">
        <v>5</v>
      </c>
      <c r="V475" s="16" t="s">
        <v>63</v>
      </c>
      <c r="W475" s="16" t="s">
        <v>99</v>
      </c>
      <c r="X475" s="16">
        <v>4787</v>
      </c>
      <c r="Y475" s="16">
        <v>1930</v>
      </c>
      <c r="Z475" s="16">
        <v>1650</v>
      </c>
      <c r="AA475" s="16" t="s">
        <v>36</v>
      </c>
      <c r="AB475" s="16" t="s">
        <v>1196</v>
      </c>
    </row>
    <row r="476" spans="1:28" x14ac:dyDescent="0.3">
      <c r="A476" s="16" t="s">
        <v>1183</v>
      </c>
      <c r="B476" s="16" t="s">
        <v>1197</v>
      </c>
      <c r="C476" s="16">
        <v>190</v>
      </c>
      <c r="D476"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76" s="16">
        <v>49</v>
      </c>
      <c r="F476" s="16" t="str">
        <f>IF(electric_vehicles_spec_2025_csv[[#This Row],[battery_capacity_kWh]]&lt;=30, "0–30 kWh", IF(electric_vehicles_spec_2025_csv[[#This Row],[battery_capacity_kWh]]&lt;=60, "31–60 kWh", "61+ kWh"))</f>
        <v>31–60 kWh</v>
      </c>
      <c r="G476" s="16" t="s">
        <v>24</v>
      </c>
      <c r="H476" s="16"/>
      <c r="I476" s="16">
        <v>343</v>
      </c>
      <c r="J476" s="16">
        <v>148</v>
      </c>
      <c r="K476" s="16" t="str">
        <f t="shared" si="7"/>
        <v>131–160 Wh/km</v>
      </c>
      <c r="L476" s="16">
        <v>265</v>
      </c>
      <c r="M476" s="16"/>
      <c r="N476" s="16">
        <v>5.9</v>
      </c>
      <c r="O476" s="16" t="str">
        <f>IF(electric_vehicles_spec_2025_csv[[#This Row],[acceleration_0_100_s]]&lt;4,"0–3.9 s",IF(electric_vehicles_spec_2025_csv[[#This Row],[acceleration_0_100_s]]&lt;6,"4.0–5.9 s",IF(electric_vehicles_spec_2025_csv[[#This Row],[acceleration_0_100_s]]&lt;8,"6.0–7.9 s","8.0+ s")))</f>
        <v>4.0–5.9 s</v>
      </c>
      <c r="P476" s="16">
        <v>70</v>
      </c>
      <c r="Q476" s="16" t="str">
        <f>IF(electric_vehicles_spec_2025_csv[[#This Row],[fast_charging_power_kw_dc]]&lt;50,"0–49 kW",IF(electric_vehicles_spec_2025_csv[[#This Row],[fast_charging_power_kw_dc]]&lt;100,"50–99 kW",IF(electric_vehicles_spec_2025_csv[[#This Row],[fast_charging_power_kw_dc]]&lt;150,"100–149 kW","150+ kW")))</f>
        <v>50–99 kW</v>
      </c>
      <c r="R476" s="16" t="s">
        <v>25</v>
      </c>
      <c r="S476" s="16">
        <v>1600</v>
      </c>
      <c r="T476" s="16" t="s">
        <v>1198</v>
      </c>
      <c r="U476" s="16">
        <v>5</v>
      </c>
      <c r="V476" s="16" t="s">
        <v>63</v>
      </c>
      <c r="W476" s="16" t="s">
        <v>35</v>
      </c>
      <c r="X476" s="16">
        <v>4432</v>
      </c>
      <c r="Y476" s="16">
        <v>1836</v>
      </c>
      <c r="Z476" s="16">
        <v>1566</v>
      </c>
      <c r="AA476" s="16" t="s">
        <v>36</v>
      </c>
      <c r="AB476" s="16" t="s">
        <v>1199</v>
      </c>
    </row>
    <row r="477" spans="1:28" x14ac:dyDescent="0.3">
      <c r="A477" s="16" t="s">
        <v>1183</v>
      </c>
      <c r="B477" s="16" t="s">
        <v>1200</v>
      </c>
      <c r="C477" s="16">
        <v>190</v>
      </c>
      <c r="D477"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77" s="16">
        <v>65</v>
      </c>
      <c r="F477" s="16" t="str">
        <f>IF(electric_vehicles_spec_2025_csv[[#This Row],[battery_capacity_kWh]]&lt;=30, "0–30 kWh", IF(electric_vehicles_spec_2025_csv[[#This Row],[battery_capacity_kWh]]&lt;=60, "31–60 kWh", "61+ kWh"))</f>
        <v>61+ kWh</v>
      </c>
      <c r="G477" s="16" t="s">
        <v>24</v>
      </c>
      <c r="H477" s="16"/>
      <c r="I477" s="16">
        <v>343</v>
      </c>
      <c r="J477" s="16">
        <v>146</v>
      </c>
      <c r="K477" s="16" t="str">
        <f t="shared" si="7"/>
        <v>131–160 Wh/km</v>
      </c>
      <c r="L477" s="16">
        <v>360</v>
      </c>
      <c r="M477" s="16"/>
      <c r="N477" s="16">
        <v>5.6</v>
      </c>
      <c r="O477" s="16" t="str">
        <f>IF(electric_vehicles_spec_2025_csv[[#This Row],[acceleration_0_100_s]]&lt;4,"0–3.9 s",IF(electric_vehicles_spec_2025_csv[[#This Row],[acceleration_0_100_s]]&lt;6,"4.0–5.9 s",IF(electric_vehicles_spec_2025_csv[[#This Row],[acceleration_0_100_s]]&lt;8,"6.0–7.9 s","8.0+ s")))</f>
        <v>4.0–5.9 s</v>
      </c>
      <c r="P477" s="16">
        <v>114</v>
      </c>
      <c r="Q477" s="16" t="str">
        <f>IF(electric_vehicles_spec_2025_csv[[#This Row],[fast_charging_power_kw_dc]]&lt;50,"0–49 kW",IF(electric_vehicles_spec_2025_csv[[#This Row],[fast_charging_power_kw_dc]]&lt;100,"50–99 kW",IF(electric_vehicles_spec_2025_csv[[#This Row],[fast_charging_power_kw_dc]]&lt;150,"100–149 kW","150+ kW")))</f>
        <v>100–149 kW</v>
      </c>
      <c r="R477" s="16" t="s">
        <v>25</v>
      </c>
      <c r="S477" s="16">
        <v>1600</v>
      </c>
      <c r="T477" s="16" t="s">
        <v>1198</v>
      </c>
      <c r="U477" s="16">
        <v>5</v>
      </c>
      <c r="V477" s="16" t="s">
        <v>63</v>
      </c>
      <c r="W477" s="16" t="s">
        <v>35</v>
      </c>
      <c r="X477" s="16">
        <v>4432</v>
      </c>
      <c r="Y477" s="16">
        <v>1836</v>
      </c>
      <c r="Z477" s="16">
        <v>1566</v>
      </c>
      <c r="AA477" s="16" t="s">
        <v>36</v>
      </c>
      <c r="AB477" s="16" t="s">
        <v>1201</v>
      </c>
    </row>
    <row r="478" spans="1:28" x14ac:dyDescent="0.3">
      <c r="A478" s="16" t="s">
        <v>1183</v>
      </c>
      <c r="B478" s="16" t="s">
        <v>1202</v>
      </c>
      <c r="C478" s="16">
        <v>190</v>
      </c>
      <c r="D478"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175–199 km/h</v>
      </c>
      <c r="E478" s="16">
        <v>65</v>
      </c>
      <c r="F478" s="16" t="str">
        <f>IF(electric_vehicles_spec_2025_csv[[#This Row],[battery_capacity_kWh]]&lt;=30, "0–30 kWh", IF(electric_vehicles_spec_2025_csv[[#This Row],[battery_capacity_kWh]]&lt;=60, "31–60 kWh", "61+ kWh"))</f>
        <v>61+ kWh</v>
      </c>
      <c r="G478" s="16" t="s">
        <v>24</v>
      </c>
      <c r="H478" s="16"/>
      <c r="I478" s="16">
        <v>543</v>
      </c>
      <c r="J478" s="16">
        <v>153</v>
      </c>
      <c r="K478" s="16" t="str">
        <f t="shared" si="7"/>
        <v>131–160 Wh/km</v>
      </c>
      <c r="L478" s="16">
        <v>350</v>
      </c>
      <c r="M478" s="16"/>
      <c r="N478" s="16">
        <v>3.8</v>
      </c>
      <c r="O478" s="16" t="str">
        <f>IF(electric_vehicles_spec_2025_csv[[#This Row],[acceleration_0_100_s]]&lt;4,"0–3.9 s",IF(electric_vehicles_spec_2025_csv[[#This Row],[acceleration_0_100_s]]&lt;6,"4.0–5.9 s",IF(electric_vehicles_spec_2025_csv[[#This Row],[acceleration_0_100_s]]&lt;8,"6.0–7.9 s","8.0+ s")))</f>
        <v>0–3.9 s</v>
      </c>
      <c r="P478" s="16">
        <v>114</v>
      </c>
      <c r="Q478" s="16" t="str">
        <f>IF(electric_vehicles_spec_2025_csv[[#This Row],[fast_charging_power_kw_dc]]&lt;50,"0–49 kW",IF(electric_vehicles_spec_2025_csv[[#This Row],[fast_charging_power_kw_dc]]&lt;100,"50–99 kW",IF(electric_vehicles_spec_2025_csv[[#This Row],[fast_charging_power_kw_dc]]&lt;150,"100–149 kW","150+ kW")))</f>
        <v>100–149 kW</v>
      </c>
      <c r="R478" s="16" t="s">
        <v>25</v>
      </c>
      <c r="S478" s="16">
        <v>1600</v>
      </c>
      <c r="T478" s="16" t="s">
        <v>1198</v>
      </c>
      <c r="U478" s="16">
        <v>5</v>
      </c>
      <c r="V478" s="16" t="s">
        <v>70</v>
      </c>
      <c r="W478" s="16" t="s">
        <v>35</v>
      </c>
      <c r="X478" s="16">
        <v>4432</v>
      </c>
      <c r="Y478" s="16">
        <v>1836</v>
      </c>
      <c r="Z478" s="16">
        <v>1566</v>
      </c>
      <c r="AA478" s="16" t="s">
        <v>36</v>
      </c>
      <c r="AB478" s="16" t="s">
        <v>1203</v>
      </c>
    </row>
    <row r="479" spans="1:28" x14ac:dyDescent="0.3">
      <c r="A479" s="16" t="s">
        <v>1204</v>
      </c>
      <c r="B479" s="16" t="s">
        <v>363</v>
      </c>
      <c r="C479" s="16">
        <v>150</v>
      </c>
      <c r="D479" s="16" t="str">
        <f>IF(electric_vehicles_spec_2025_csv[[#This Row],[top_speed_kmh]]&lt;150,"125–149 km/h",IF(electric_vehicles_spec_2025_csv[[#This Row],[top_speed_kmh]]&lt;175,"150–174 km/h",IF(electric_vehicles_spec_2025_csv[[#This Row],[top_speed_kmh]]&lt;200,"175–199 km/h",IF(electric_vehicles_spec_2025_csv[[#This Row],[top_speed_kmh]]&lt;225,"200–224 km/h",IF(electric_vehicles_spec_2025_csv[[#This Row],[top_speed_kmh]]&lt;250,"225–249 km/h",IF(electric_vehicles_spec_2025_csv[[#This Row],[top_speed_kmh]]&lt;275,"250–274 km/h",IF(electric_vehicles_spec_2025_csv[[#This Row],[top_speed_kmh]]&lt;300,"275–299 km/h",IF(electric_vehicles_spec_2025_csv[[#This Row],[top_speed_kmh]]&lt;=325,"300–325 km/h","&gt;325 km/h"))))))))</f>
        <v>150–174 km/h</v>
      </c>
      <c r="E479" s="16">
        <v>41.2</v>
      </c>
      <c r="F479" s="16" t="str">
        <f>IF(electric_vehicles_spec_2025_csv[[#This Row],[battery_capacity_kWh]]&lt;=30, "0–30 kWh", IF(electric_vehicles_spec_2025_csv[[#This Row],[battery_capacity_kWh]]&lt;=60, "31–60 kWh", "61+ kWh"))</f>
        <v>31–60 kWh</v>
      </c>
      <c r="G479" s="16" t="s">
        <v>24</v>
      </c>
      <c r="H479" s="16">
        <v>112</v>
      </c>
      <c r="I479" s="16">
        <v>200</v>
      </c>
      <c r="J479" s="16">
        <v>125</v>
      </c>
      <c r="K479" s="16" t="str">
        <f t="shared" si="7"/>
        <v>0–130 Wh/km</v>
      </c>
      <c r="L479" s="16">
        <v>250</v>
      </c>
      <c r="M479" s="16"/>
      <c r="N479" s="16">
        <v>8.1</v>
      </c>
      <c r="O479" s="16" t="str">
        <f>IF(electric_vehicles_spec_2025_csv[[#This Row],[acceleration_0_100_s]]&lt;4,"0–3.9 s",IF(electric_vehicles_spec_2025_csv[[#This Row],[acceleration_0_100_s]]&lt;6,"4.0–5.9 s",IF(electric_vehicles_spec_2025_csv[[#This Row],[acceleration_0_100_s]]&lt;8,"6.0–7.9 s","8.0+ s")))</f>
        <v>8.0+ s</v>
      </c>
      <c r="P479" s="16">
        <v>65</v>
      </c>
      <c r="Q479" s="16" t="str">
        <f>IF(electric_vehicles_spec_2025_csv[[#This Row],[fast_charging_power_kw_dc]]&lt;50,"0–49 kW",IF(electric_vehicles_spec_2025_csv[[#This Row],[fast_charging_power_kw_dc]]&lt;100,"50–99 kW",IF(electric_vehicles_spec_2025_csv[[#This Row],[fast_charging_power_kw_dc]]&lt;150,"100–149 kW","150+ kW")))</f>
        <v>50–99 kW</v>
      </c>
      <c r="R479" s="16" t="s">
        <v>25</v>
      </c>
      <c r="S479" s="16">
        <v>0</v>
      </c>
      <c r="T479" s="16" t="s">
        <v>1122</v>
      </c>
      <c r="U479" s="16">
        <v>5</v>
      </c>
      <c r="V479" s="16" t="s">
        <v>63</v>
      </c>
      <c r="W479" s="16" t="s">
        <v>28</v>
      </c>
      <c r="X479" s="16">
        <v>4003</v>
      </c>
      <c r="Y479" s="16">
        <v>1885</v>
      </c>
      <c r="Z479" s="16">
        <v>1557</v>
      </c>
      <c r="AA479" s="16" t="s">
        <v>29</v>
      </c>
      <c r="AB479" s="16" t="s">
        <v>1205</v>
      </c>
    </row>
  </sheetData>
  <phoneticPr fontId="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AD831-FF5F-4322-82E4-C3A7A661D176}">
  <sheetPr>
    <tabColor rgb="FF002060"/>
  </sheetPr>
  <dimension ref="A1:DH67"/>
  <sheetViews>
    <sheetView topLeftCell="O1" zoomScale="70" zoomScaleNormal="70" workbookViewId="0">
      <selection activeCell="AH46" sqref="AH46"/>
    </sheetView>
  </sheetViews>
  <sheetFormatPr defaultRowHeight="14.4" x14ac:dyDescent="0.3"/>
  <cols>
    <col min="1" max="1" width="15.21875" bestFit="1" customWidth="1"/>
    <col min="2" max="2" width="14.6640625" bestFit="1" customWidth="1"/>
    <col min="4" max="5" width="8.88671875" hidden="1" customWidth="1"/>
    <col min="6" max="6" width="20.77734375" customWidth="1"/>
    <col min="7" max="7" width="31.44140625" bestFit="1" customWidth="1"/>
    <col min="8" max="8" width="31" bestFit="1" customWidth="1"/>
    <col min="9" max="9" width="12.77734375" customWidth="1"/>
    <col min="10" max="11" width="20.77734375" customWidth="1"/>
    <col min="12" max="12" width="23.33203125" customWidth="1"/>
    <col min="13" max="13" width="11.88671875" customWidth="1"/>
    <col min="14" max="15" width="20.77734375" customWidth="1"/>
    <col min="16" max="16" width="26" hidden="1" customWidth="1"/>
    <col min="18" max="18" width="3.109375" hidden="1" customWidth="1"/>
    <col min="19" max="19" width="23.21875" bestFit="1" customWidth="1"/>
    <col min="20" max="20" width="34.77734375" bestFit="1" customWidth="1"/>
    <col min="21" max="21" width="22.109375" bestFit="1" customWidth="1"/>
    <col min="22" max="22" width="7.6640625" hidden="1" customWidth="1"/>
    <col min="23" max="23" width="12.88671875" customWidth="1"/>
    <col min="24" max="24" width="20.77734375" customWidth="1"/>
    <col min="25" max="25" width="26.6640625" customWidth="1"/>
    <col min="26" max="26" width="18.33203125" customWidth="1"/>
    <col min="27" max="27" width="20.77734375" customWidth="1"/>
    <col min="28" max="28" width="24.109375" customWidth="1"/>
    <col min="29" max="29" width="27.33203125" customWidth="1"/>
    <col min="32" max="32" width="28.6640625" customWidth="1"/>
    <col min="33" max="33" width="27.33203125" customWidth="1"/>
    <col min="34" max="34" width="30.6640625" customWidth="1"/>
    <col min="35" max="35" width="14" customWidth="1"/>
    <col min="36" max="36" width="17.6640625" customWidth="1"/>
    <col min="37" max="37" width="32.5546875" bestFit="1" customWidth="1"/>
    <col min="38" max="38" width="25" bestFit="1" customWidth="1"/>
    <col min="52" max="52" width="8.88671875" customWidth="1"/>
    <col min="53" max="53" width="0.109375" customWidth="1"/>
    <col min="69" max="69" width="8.88671875" customWidth="1"/>
    <col min="70" max="70" width="8.88671875" hidden="1" customWidth="1"/>
    <col min="72" max="72" width="0.21875" customWidth="1"/>
    <col min="78" max="78" width="11.33203125" customWidth="1"/>
    <col min="110" max="110" width="8.44140625" customWidth="1"/>
    <col min="111" max="112" width="8.88671875" hidden="1" customWidth="1"/>
  </cols>
  <sheetData>
    <row r="1" spans="1:34" ht="23.4" x14ac:dyDescent="0.45">
      <c r="A1" s="9" t="s">
        <v>1234</v>
      </c>
      <c r="F1" s="5" t="s">
        <v>1226</v>
      </c>
      <c r="J1" s="8" t="s">
        <v>1218</v>
      </c>
      <c r="N1" s="7" t="s">
        <v>1220</v>
      </c>
      <c r="S1" s="6" t="s">
        <v>1214</v>
      </c>
      <c r="X1" s="5" t="s">
        <v>1222</v>
      </c>
      <c r="AA1" s="5" t="s">
        <v>1224</v>
      </c>
      <c r="AF1" s="8" t="s">
        <v>1235</v>
      </c>
    </row>
    <row r="2" spans="1:34" ht="18" customHeight="1" x14ac:dyDescent="0.3">
      <c r="A2" s="1" t="s">
        <v>1208</v>
      </c>
      <c r="B2" t="s">
        <v>1209</v>
      </c>
      <c r="G2" t="s">
        <v>1211</v>
      </c>
      <c r="H2" t="s">
        <v>1212</v>
      </c>
      <c r="J2" s="1" t="s">
        <v>1208</v>
      </c>
      <c r="K2" t="s">
        <v>1213</v>
      </c>
      <c r="L2" t="s">
        <v>1217</v>
      </c>
      <c r="N2" s="1" t="s">
        <v>1208</v>
      </c>
      <c r="O2" t="s">
        <v>1219</v>
      </c>
      <c r="S2" s="1" t="s">
        <v>1207</v>
      </c>
      <c r="T2" t="s">
        <v>1210</v>
      </c>
      <c r="U2" t="s">
        <v>1213</v>
      </c>
      <c r="X2" s="1" t="s">
        <v>1208</v>
      </c>
      <c r="Y2" t="s">
        <v>1221</v>
      </c>
      <c r="AA2" s="1" t="s">
        <v>1208</v>
      </c>
      <c r="AB2" t="s">
        <v>1212</v>
      </c>
      <c r="AC2" t="s">
        <v>1223</v>
      </c>
      <c r="AF2" s="1" t="s">
        <v>1207</v>
      </c>
      <c r="AG2" t="s">
        <v>1215</v>
      </c>
      <c r="AH2" t="s">
        <v>1225</v>
      </c>
    </row>
    <row r="3" spans="1:34" x14ac:dyDescent="0.3">
      <c r="A3" s="2" t="s">
        <v>596</v>
      </c>
      <c r="B3" s="4">
        <v>42</v>
      </c>
      <c r="F3" s="2" t="s">
        <v>858</v>
      </c>
      <c r="G3" s="4">
        <v>6552</v>
      </c>
      <c r="H3" s="17">
        <v>252</v>
      </c>
      <c r="J3" s="2" t="s">
        <v>1159</v>
      </c>
      <c r="K3" s="4">
        <v>480</v>
      </c>
      <c r="L3" s="4">
        <v>200</v>
      </c>
      <c r="N3" s="2" t="s">
        <v>596</v>
      </c>
      <c r="O3" s="4">
        <v>42</v>
      </c>
      <c r="S3" s="2" t="s">
        <v>646</v>
      </c>
      <c r="T3" s="15">
        <v>118</v>
      </c>
      <c r="U3" s="4">
        <v>685</v>
      </c>
      <c r="X3" s="2" t="s">
        <v>519</v>
      </c>
      <c r="Y3" s="3">
        <v>219.16666666666666</v>
      </c>
      <c r="AA3" s="2" t="s">
        <v>858</v>
      </c>
      <c r="AB3" s="4">
        <v>252</v>
      </c>
      <c r="AC3" s="4">
        <v>93.865384615384613</v>
      </c>
      <c r="AF3" s="2" t="s">
        <v>578</v>
      </c>
      <c r="AG3" s="4">
        <v>1350</v>
      </c>
      <c r="AH3" s="4">
        <v>2.8</v>
      </c>
    </row>
    <row r="4" spans="1:34" ht="18" customHeight="1" x14ac:dyDescent="0.3">
      <c r="A4" s="2" t="s">
        <v>60</v>
      </c>
      <c r="B4" s="4">
        <v>28</v>
      </c>
      <c r="F4" s="2" t="s">
        <v>596</v>
      </c>
      <c r="G4" s="4">
        <v>5329</v>
      </c>
      <c r="H4" s="4">
        <v>126.88095238095238</v>
      </c>
      <c r="J4" s="2" t="s">
        <v>1018</v>
      </c>
      <c r="K4" s="4">
        <v>490</v>
      </c>
      <c r="L4" s="4">
        <v>138.27272727272728</v>
      </c>
      <c r="N4" s="10" t="s">
        <v>125</v>
      </c>
      <c r="O4" s="11">
        <v>14</v>
      </c>
      <c r="S4" s="2" t="s">
        <v>644</v>
      </c>
      <c r="T4" s="15">
        <v>118</v>
      </c>
      <c r="U4" s="4">
        <v>655</v>
      </c>
      <c r="X4" s="2" t="s">
        <v>449</v>
      </c>
      <c r="Y4" s="3">
        <v>208</v>
      </c>
      <c r="AA4" s="2" t="s">
        <v>519</v>
      </c>
      <c r="AB4" s="4">
        <v>249.5</v>
      </c>
      <c r="AC4" s="4">
        <v>103.94999999999999</v>
      </c>
      <c r="AF4" s="2" t="s">
        <v>581</v>
      </c>
      <c r="AG4" s="4">
        <v>1350</v>
      </c>
      <c r="AH4" s="4">
        <v>2.7</v>
      </c>
    </row>
    <row r="5" spans="1:34" x14ac:dyDescent="0.3">
      <c r="A5" s="2" t="s">
        <v>858</v>
      </c>
      <c r="B5" s="4">
        <v>26</v>
      </c>
      <c r="F5" s="2" t="s">
        <v>60</v>
      </c>
      <c r="G5" s="4">
        <v>5044</v>
      </c>
      <c r="H5" s="17">
        <v>180.14285714285714</v>
      </c>
      <c r="J5" s="2" t="s">
        <v>940</v>
      </c>
      <c r="K5" s="4">
        <v>465</v>
      </c>
      <c r="L5" s="4">
        <v>192</v>
      </c>
      <c r="N5" s="10" t="s">
        <v>245</v>
      </c>
      <c r="O5" s="4">
        <v>9</v>
      </c>
      <c r="S5" s="2" t="s">
        <v>650</v>
      </c>
      <c r="T5" s="15">
        <v>118</v>
      </c>
      <c r="U5" s="4">
        <v>640</v>
      </c>
      <c r="X5" s="2" t="s">
        <v>300</v>
      </c>
      <c r="Y5" s="3">
        <v>203</v>
      </c>
      <c r="AA5" s="2" t="s">
        <v>389</v>
      </c>
      <c r="AB5" s="4">
        <v>190</v>
      </c>
      <c r="AC5" s="4">
        <v>75.7</v>
      </c>
      <c r="AF5" s="2" t="s">
        <v>903</v>
      </c>
      <c r="AG5" s="4">
        <v>1340</v>
      </c>
      <c r="AH5" s="4">
        <v>2.2000000000000002</v>
      </c>
    </row>
    <row r="6" spans="1:34" x14ac:dyDescent="0.3">
      <c r="A6" s="2" t="s">
        <v>1067</v>
      </c>
      <c r="B6" s="4">
        <v>23</v>
      </c>
      <c r="F6" s="2" t="s">
        <v>1067</v>
      </c>
      <c r="G6" s="4">
        <v>2864</v>
      </c>
      <c r="H6" s="4">
        <v>124.52173913043478</v>
      </c>
      <c r="J6" s="2" t="s">
        <v>858</v>
      </c>
      <c r="K6" s="4">
        <v>502.88461538461536</v>
      </c>
      <c r="L6" s="4">
        <v>179.61538461538461</v>
      </c>
      <c r="N6" s="10" t="s">
        <v>36</v>
      </c>
      <c r="O6" s="11">
        <v>19</v>
      </c>
      <c r="S6" s="2" t="s">
        <v>648</v>
      </c>
      <c r="T6" s="15">
        <v>118</v>
      </c>
      <c r="U6" s="4">
        <v>640</v>
      </c>
      <c r="X6" s="2" t="s">
        <v>406</v>
      </c>
      <c r="Y6" s="3">
        <v>201.33333333333334</v>
      </c>
      <c r="AA6" s="2" t="s">
        <v>60</v>
      </c>
      <c r="AB6" s="4">
        <v>180.14285714285714</v>
      </c>
      <c r="AC6" s="4">
        <v>86.071428571428598</v>
      </c>
      <c r="AF6" s="2" t="s">
        <v>901</v>
      </c>
      <c r="AG6" s="4">
        <v>1340</v>
      </c>
      <c r="AH6" s="4">
        <v>2.2999999999999998</v>
      </c>
    </row>
    <row r="7" spans="1:34" x14ac:dyDescent="0.3">
      <c r="A7" s="2" t="s">
        <v>323</v>
      </c>
      <c r="B7" s="4">
        <v>22</v>
      </c>
      <c r="F7" s="2" t="s">
        <v>134</v>
      </c>
      <c r="G7" s="4">
        <v>2572</v>
      </c>
      <c r="H7" s="4">
        <v>128.6</v>
      </c>
      <c r="J7" s="2" t="s">
        <v>837</v>
      </c>
      <c r="K7" s="4">
        <v>478.33333333333331</v>
      </c>
      <c r="L7" s="4">
        <v>156.44444444444446</v>
      </c>
      <c r="N7" s="2" t="s">
        <v>60</v>
      </c>
      <c r="O7" s="4">
        <v>28</v>
      </c>
      <c r="S7" s="2" t="s">
        <v>652</v>
      </c>
      <c r="T7" s="15">
        <v>118</v>
      </c>
      <c r="U7" s="4">
        <v>585</v>
      </c>
      <c r="X7" s="2" t="s">
        <v>1159</v>
      </c>
      <c r="Y7" s="3">
        <v>200</v>
      </c>
      <c r="AA7" s="2" t="s">
        <v>577</v>
      </c>
      <c r="AB7" s="4">
        <v>172.33333333333334</v>
      </c>
      <c r="AC7" s="4">
        <v>87</v>
      </c>
      <c r="AF7" s="2" t="s">
        <v>535</v>
      </c>
      <c r="AG7" s="4">
        <v>1200</v>
      </c>
      <c r="AH7" s="4">
        <v>3</v>
      </c>
    </row>
    <row r="8" spans="1:34" x14ac:dyDescent="0.3">
      <c r="A8" s="2" t="s">
        <v>134</v>
      </c>
      <c r="B8" s="4">
        <v>20</v>
      </c>
      <c r="F8" s="2" t="s">
        <v>1120</v>
      </c>
      <c r="G8" s="4">
        <v>2470</v>
      </c>
      <c r="H8" s="4">
        <v>137.22222222222223</v>
      </c>
      <c r="J8" s="2" t="s">
        <v>534</v>
      </c>
      <c r="K8" s="4">
        <v>603.33333333333337</v>
      </c>
      <c r="L8" s="4">
        <v>138.33333333333334</v>
      </c>
      <c r="N8" s="10" t="s">
        <v>73</v>
      </c>
      <c r="O8" s="11">
        <v>4</v>
      </c>
      <c r="S8" s="2" t="s">
        <v>657</v>
      </c>
      <c r="T8" s="15">
        <v>118</v>
      </c>
      <c r="U8" s="4">
        <v>540</v>
      </c>
      <c r="X8" s="2" t="s">
        <v>577</v>
      </c>
      <c r="Y8" s="3">
        <v>200</v>
      </c>
      <c r="AA8" s="2" t="s">
        <v>1162</v>
      </c>
      <c r="AB8" s="4">
        <v>170.22222222222223</v>
      </c>
      <c r="AC8" s="4">
        <v>83.455555555555577</v>
      </c>
      <c r="AF8" s="2" t="s">
        <v>682</v>
      </c>
      <c r="AG8" s="4">
        <v>1164</v>
      </c>
      <c r="AH8" s="4">
        <v>4.7</v>
      </c>
    </row>
    <row r="9" spans="1:34" x14ac:dyDescent="0.3">
      <c r="A9" s="2" t="s">
        <v>792</v>
      </c>
      <c r="B9" s="4">
        <v>19</v>
      </c>
      <c r="F9" s="2" t="s">
        <v>464</v>
      </c>
      <c r="G9" s="4">
        <v>2326</v>
      </c>
      <c r="H9" s="4">
        <v>145.375</v>
      </c>
      <c r="J9" s="2" t="s">
        <v>519</v>
      </c>
      <c r="K9" s="4">
        <v>489.16666666666669</v>
      </c>
      <c r="L9" s="4">
        <v>219.16666666666666</v>
      </c>
      <c r="N9" s="10" t="s">
        <v>125</v>
      </c>
      <c r="O9" s="11">
        <v>4</v>
      </c>
      <c r="S9" s="2" t="s">
        <v>661</v>
      </c>
      <c r="T9" s="15">
        <v>118</v>
      </c>
      <c r="U9" s="4">
        <v>530</v>
      </c>
      <c r="X9" s="2" t="s">
        <v>596</v>
      </c>
      <c r="Y9" s="3">
        <v>195</v>
      </c>
      <c r="AA9" s="2" t="s">
        <v>534</v>
      </c>
      <c r="AB9" s="4">
        <v>168</v>
      </c>
      <c r="AC9" s="4">
        <v>98.666666666666671</v>
      </c>
      <c r="AF9" s="2" t="s">
        <v>908</v>
      </c>
      <c r="AG9" s="4">
        <v>1110</v>
      </c>
      <c r="AH9" s="4">
        <v>2.5</v>
      </c>
    </row>
    <row r="10" spans="1:34" ht="18" customHeight="1" x14ac:dyDescent="0.3">
      <c r="A10" s="2" t="s">
        <v>1120</v>
      </c>
      <c r="B10" s="4">
        <v>18</v>
      </c>
      <c r="F10" s="2" t="s">
        <v>975</v>
      </c>
      <c r="G10" s="4">
        <v>2275</v>
      </c>
      <c r="H10" s="4">
        <v>133.8235294117647</v>
      </c>
      <c r="J10" s="2" t="s">
        <v>236</v>
      </c>
      <c r="K10" s="4">
        <v>460</v>
      </c>
      <c r="L10" s="4">
        <v>192</v>
      </c>
      <c r="N10" s="10" t="s">
        <v>65</v>
      </c>
      <c r="O10" s="11">
        <v>4</v>
      </c>
      <c r="S10" s="2" t="s">
        <v>659</v>
      </c>
      <c r="T10" s="15">
        <v>118</v>
      </c>
      <c r="U10" s="4">
        <v>530</v>
      </c>
      <c r="X10" s="2" t="s">
        <v>587</v>
      </c>
      <c r="Y10" s="3">
        <v>195</v>
      </c>
      <c r="AA10" s="2" t="s">
        <v>236</v>
      </c>
      <c r="AB10" s="4">
        <v>165</v>
      </c>
      <c r="AC10" s="4">
        <v>102</v>
      </c>
      <c r="AF10" s="2" t="s">
        <v>910</v>
      </c>
      <c r="AG10" s="4">
        <v>1110</v>
      </c>
      <c r="AH10" s="4">
        <v>2.4</v>
      </c>
    </row>
    <row r="11" spans="1:34" x14ac:dyDescent="0.3">
      <c r="A11" s="2" t="s">
        <v>975</v>
      </c>
      <c r="B11" s="4">
        <v>17</v>
      </c>
      <c r="F11" s="2" t="s">
        <v>323</v>
      </c>
      <c r="G11" s="4">
        <v>2225</v>
      </c>
      <c r="H11" s="4">
        <v>101.13636363636364</v>
      </c>
      <c r="J11" s="2" t="s">
        <v>134</v>
      </c>
      <c r="K11" s="4">
        <v>458.25</v>
      </c>
      <c r="L11" s="4">
        <v>175.2</v>
      </c>
      <c r="N11" s="10" t="s">
        <v>36</v>
      </c>
      <c r="O11" s="11">
        <v>16</v>
      </c>
      <c r="S11" s="2" t="s">
        <v>654</v>
      </c>
      <c r="T11" s="15">
        <v>118</v>
      </c>
      <c r="U11" s="4">
        <v>530</v>
      </c>
      <c r="X11" s="2" t="s">
        <v>323</v>
      </c>
      <c r="Y11" s="3">
        <v>194.86363636363637</v>
      </c>
      <c r="AA11" s="2" t="s">
        <v>1183</v>
      </c>
      <c r="AB11" s="4">
        <v>162.55555555555554</v>
      </c>
      <c r="AC11" s="4">
        <v>80</v>
      </c>
      <c r="AF11" s="2" t="s">
        <v>906</v>
      </c>
      <c r="AG11" s="4">
        <v>1110</v>
      </c>
      <c r="AH11" s="4">
        <v>2.4</v>
      </c>
    </row>
    <row r="12" spans="1:34" x14ac:dyDescent="0.3">
      <c r="A12" s="2" t="s">
        <v>182</v>
      </c>
      <c r="B12" s="4">
        <v>17</v>
      </c>
      <c r="F12" s="2" t="s">
        <v>414</v>
      </c>
      <c r="G12" s="4">
        <v>2136</v>
      </c>
      <c r="H12" s="4">
        <v>152.57142857142858</v>
      </c>
      <c r="J12" s="2" t="s">
        <v>60</v>
      </c>
      <c r="K12" s="4">
        <v>478.39285714285717</v>
      </c>
      <c r="L12" s="4">
        <v>160.25</v>
      </c>
      <c r="N12" s="2" t="s">
        <v>858</v>
      </c>
      <c r="O12" s="4">
        <v>26</v>
      </c>
      <c r="S12" s="2" t="s">
        <v>664</v>
      </c>
      <c r="T12" s="15">
        <v>118</v>
      </c>
      <c r="U12" s="4">
        <v>490</v>
      </c>
      <c r="X12" s="2" t="s">
        <v>940</v>
      </c>
      <c r="Y12" s="3">
        <v>192</v>
      </c>
      <c r="AA12" s="2" t="s">
        <v>414</v>
      </c>
      <c r="AB12" s="4">
        <v>152.57142857142858</v>
      </c>
      <c r="AC12" s="4">
        <v>72.48571428571428</v>
      </c>
      <c r="AF12" s="2" t="s">
        <v>160</v>
      </c>
      <c r="AG12" s="4">
        <v>1100</v>
      </c>
      <c r="AH12" s="4">
        <v>3.7</v>
      </c>
    </row>
    <row r="13" spans="1:34" ht="18" customHeight="1" x14ac:dyDescent="0.3">
      <c r="A13" s="2" t="s">
        <v>1206</v>
      </c>
      <c r="B13" s="4">
        <v>232</v>
      </c>
      <c r="F13" s="2" t="s">
        <v>1206</v>
      </c>
      <c r="G13" s="4">
        <v>33793</v>
      </c>
      <c r="H13" s="4">
        <v>149.52654867256638</v>
      </c>
      <c r="J13" s="2" t="s">
        <v>1206</v>
      </c>
      <c r="K13" s="4">
        <v>485.66037735849056</v>
      </c>
      <c r="L13" s="4">
        <v>168.90566037735849</v>
      </c>
      <c r="N13" s="10" t="s">
        <v>125</v>
      </c>
      <c r="O13" s="11">
        <v>11</v>
      </c>
      <c r="S13" s="2" t="s">
        <v>1206</v>
      </c>
      <c r="T13" s="4">
        <v>118</v>
      </c>
      <c r="U13" s="4">
        <v>582.5</v>
      </c>
      <c r="X13" s="2" t="s">
        <v>236</v>
      </c>
      <c r="Y13" s="3">
        <v>192</v>
      </c>
      <c r="AA13" s="2" t="s">
        <v>1206</v>
      </c>
      <c r="AB13" s="4">
        <v>195.76923076923077</v>
      </c>
      <c r="AC13" s="4">
        <v>86.515384615384562</v>
      </c>
      <c r="AF13" s="2" t="s">
        <v>1206</v>
      </c>
      <c r="AG13" s="4">
        <v>12174</v>
      </c>
      <c r="AH13" s="4">
        <v>2.87</v>
      </c>
    </row>
    <row r="14" spans="1:34" x14ac:dyDescent="0.3">
      <c r="N14" s="10" t="s">
        <v>65</v>
      </c>
      <c r="O14" s="11">
        <v>11</v>
      </c>
      <c r="X14" s="2" t="s">
        <v>1206</v>
      </c>
      <c r="Y14" s="3">
        <v>197.39024390243901</v>
      </c>
    </row>
    <row r="15" spans="1:34" x14ac:dyDescent="0.3">
      <c r="N15" s="10" t="s">
        <v>36</v>
      </c>
      <c r="O15" s="11">
        <v>4</v>
      </c>
    </row>
    <row r="16" spans="1:34" x14ac:dyDescent="0.3">
      <c r="N16" s="2" t="s">
        <v>1067</v>
      </c>
      <c r="O16" s="4">
        <v>23</v>
      </c>
    </row>
    <row r="17" spans="1:37" x14ac:dyDescent="0.3">
      <c r="N17" s="10" t="s">
        <v>29</v>
      </c>
      <c r="O17" s="4">
        <v>5</v>
      </c>
    </row>
    <row r="18" spans="1:37" x14ac:dyDescent="0.3">
      <c r="N18" s="10" t="s">
        <v>73</v>
      </c>
      <c r="O18" s="11">
        <v>3</v>
      </c>
      <c r="Y18">
        <v>1</v>
      </c>
      <c r="AB18">
        <v>2</v>
      </c>
    </row>
    <row r="19" spans="1:37" x14ac:dyDescent="0.3">
      <c r="A19">
        <v>1</v>
      </c>
      <c r="G19">
        <v>1</v>
      </c>
      <c r="K19">
        <v>1</v>
      </c>
      <c r="N19" s="10" t="s">
        <v>245</v>
      </c>
      <c r="O19" s="4">
        <v>5</v>
      </c>
      <c r="AK19">
        <v>2</v>
      </c>
    </row>
    <row r="20" spans="1:37" x14ac:dyDescent="0.3">
      <c r="N20" s="10" t="s">
        <v>65</v>
      </c>
      <c r="O20" s="11">
        <v>3</v>
      </c>
    </row>
    <row r="21" spans="1:37" x14ac:dyDescent="0.3">
      <c r="N21" s="10" t="s">
        <v>36</v>
      </c>
      <c r="O21" s="11">
        <v>7</v>
      </c>
    </row>
    <row r="22" spans="1:37" x14ac:dyDescent="0.3">
      <c r="N22" s="2" t="s">
        <v>323</v>
      </c>
      <c r="O22" s="4">
        <v>22</v>
      </c>
    </row>
    <row r="23" spans="1:37" x14ac:dyDescent="0.3">
      <c r="N23" s="10" t="s">
        <v>73</v>
      </c>
      <c r="O23" s="11">
        <v>3</v>
      </c>
    </row>
    <row r="24" spans="1:37" x14ac:dyDescent="0.3">
      <c r="N24" s="14" t="s">
        <v>245</v>
      </c>
      <c r="O24" s="4">
        <v>5</v>
      </c>
    </row>
    <row r="25" spans="1:37" x14ac:dyDescent="0.3">
      <c r="N25" s="10" t="s">
        <v>36</v>
      </c>
      <c r="O25" s="11">
        <v>14</v>
      </c>
    </row>
    <row r="26" spans="1:37" x14ac:dyDescent="0.3">
      <c r="N26" s="2" t="s">
        <v>134</v>
      </c>
      <c r="O26" s="4">
        <v>20</v>
      </c>
    </row>
    <row r="27" spans="1:37" x14ac:dyDescent="0.3">
      <c r="N27" s="10" t="s">
        <v>73</v>
      </c>
      <c r="O27" s="11">
        <v>4</v>
      </c>
    </row>
    <row r="28" spans="1:37" x14ac:dyDescent="0.3">
      <c r="N28" s="10" t="s">
        <v>125</v>
      </c>
      <c r="O28" s="11">
        <v>6</v>
      </c>
    </row>
    <row r="29" spans="1:37" x14ac:dyDescent="0.3">
      <c r="N29" s="10" t="s">
        <v>65</v>
      </c>
      <c r="O29" s="11">
        <v>3</v>
      </c>
    </row>
    <row r="30" spans="1:37" x14ac:dyDescent="0.3">
      <c r="N30" s="10" t="s">
        <v>36</v>
      </c>
      <c r="O30" s="11">
        <v>7</v>
      </c>
    </row>
    <row r="31" spans="1:37" x14ac:dyDescent="0.3">
      <c r="N31" s="2" t="s">
        <v>792</v>
      </c>
      <c r="O31" s="4">
        <v>19</v>
      </c>
    </row>
    <row r="32" spans="1:37" x14ac:dyDescent="0.3">
      <c r="N32" s="10" t="s">
        <v>29</v>
      </c>
      <c r="O32" s="4">
        <v>3</v>
      </c>
    </row>
    <row r="33" spans="14:15" x14ac:dyDescent="0.3">
      <c r="N33" s="10" t="s">
        <v>245</v>
      </c>
      <c r="O33" s="4">
        <v>6</v>
      </c>
    </row>
    <row r="34" spans="14:15" x14ac:dyDescent="0.3">
      <c r="N34" s="10" t="s">
        <v>65</v>
      </c>
      <c r="O34" s="11">
        <v>1</v>
      </c>
    </row>
    <row r="35" spans="14:15" x14ac:dyDescent="0.3">
      <c r="N35" s="10" t="s">
        <v>36</v>
      </c>
      <c r="O35" s="11">
        <v>9</v>
      </c>
    </row>
    <row r="36" spans="14:15" x14ac:dyDescent="0.3">
      <c r="N36" s="2" t="s">
        <v>1120</v>
      </c>
      <c r="O36" s="4">
        <v>18</v>
      </c>
    </row>
    <row r="37" spans="14:15" x14ac:dyDescent="0.3">
      <c r="N37" s="10" t="s">
        <v>73</v>
      </c>
      <c r="O37" s="11">
        <v>3</v>
      </c>
    </row>
    <row r="38" spans="14:15" x14ac:dyDescent="0.3">
      <c r="N38" s="10" t="s">
        <v>36</v>
      </c>
      <c r="O38" s="11">
        <v>15</v>
      </c>
    </row>
    <row r="39" spans="14:15" x14ac:dyDescent="0.3">
      <c r="N39" s="2" t="s">
        <v>975</v>
      </c>
      <c r="O39" s="4">
        <v>17</v>
      </c>
    </row>
    <row r="40" spans="14:15" x14ac:dyDescent="0.3">
      <c r="N40" s="10" t="s">
        <v>36</v>
      </c>
      <c r="O40" s="11">
        <v>17</v>
      </c>
    </row>
    <row r="41" spans="14:15" x14ac:dyDescent="0.3">
      <c r="N41" s="2" t="s">
        <v>182</v>
      </c>
      <c r="O41" s="4">
        <v>17</v>
      </c>
    </row>
    <row r="42" spans="14:15" x14ac:dyDescent="0.3">
      <c r="N42" s="10" t="s">
        <v>29</v>
      </c>
      <c r="O42" s="4">
        <v>6</v>
      </c>
    </row>
    <row r="43" spans="14:15" x14ac:dyDescent="0.3">
      <c r="N43" s="10" t="s">
        <v>125</v>
      </c>
      <c r="O43" s="11">
        <v>3</v>
      </c>
    </row>
    <row r="44" spans="14:15" x14ac:dyDescent="0.3">
      <c r="N44" s="10" t="s">
        <v>36</v>
      </c>
      <c r="O44" s="11">
        <v>8</v>
      </c>
    </row>
    <row r="45" spans="14:15" x14ac:dyDescent="0.3">
      <c r="N45" s="2" t="s">
        <v>1206</v>
      </c>
      <c r="O45" s="4">
        <v>232</v>
      </c>
    </row>
    <row r="49" spans="15:15" x14ac:dyDescent="0.3">
      <c r="O49">
        <v>2</v>
      </c>
    </row>
    <row r="67" spans="18:18" ht="23.4" x14ac:dyDescent="0.45">
      <c r="R67" s="8" t="s">
        <v>1216</v>
      </c>
    </row>
  </sheetData>
  <conditionalFormatting sqref="G2:H2 G63:H1048576">
    <cfRule type="colorScale" priority="48">
      <colorScale>
        <cfvo type="min"/>
        <cfvo type="percentile" val="50"/>
        <cfvo type="max"/>
        <color rgb="FF63BE7B"/>
        <color rgb="FFFFEB84"/>
        <color rgb="FFF8696B"/>
      </colorScale>
    </cfRule>
  </conditionalFormatting>
  <conditionalFormatting sqref="B63:B1048576 B2">
    <cfRule type="colorScale" priority="47">
      <colorScale>
        <cfvo type="min"/>
        <cfvo type="percentile" val="50"/>
        <cfvo type="max"/>
        <color rgb="FFF8696B"/>
        <color rgb="FFFFEB84"/>
        <color rgb="FF63BE7B"/>
      </colorScale>
    </cfRule>
  </conditionalFormatting>
  <conditionalFormatting sqref="T63:T66 K2 T80:T1048576">
    <cfRule type="dataBar" priority="42">
      <dataBar>
        <cfvo type="min"/>
        <cfvo type="max"/>
        <color rgb="FF63C384"/>
      </dataBar>
      <extLst>
        <ext xmlns:x14="http://schemas.microsoft.com/office/spreadsheetml/2009/9/main" uri="{B025F937-C7B1-47D3-B67F-A62EFF666E3E}">
          <x14:id>{3F385EBE-6C14-4478-922D-1AF0F78A62E2}</x14:id>
        </ext>
      </extLst>
    </cfRule>
  </conditionalFormatting>
  <conditionalFormatting sqref="U63:U66 L2 U80:U1048576">
    <cfRule type="dataBar" priority="41">
      <dataBar>
        <cfvo type="min"/>
        <cfvo type="max"/>
        <color rgb="FFD6007B"/>
      </dataBar>
      <extLst>
        <ext xmlns:x14="http://schemas.microsoft.com/office/spreadsheetml/2009/9/main" uri="{B025F937-C7B1-47D3-B67F-A62EFF666E3E}">
          <x14:id>{AA05D737-6B4A-43F0-AABC-9C85D46A41C5}</x14:id>
        </ext>
      </extLst>
    </cfRule>
  </conditionalFormatting>
  <conditionalFormatting sqref="Y70:Y1048576 O2">
    <cfRule type="colorScale" priority="40">
      <colorScale>
        <cfvo type="min"/>
        <cfvo type="percentile" val="50"/>
        <cfvo type="max"/>
        <color rgb="FFF8696B"/>
        <color rgb="FFFFEB84"/>
        <color rgb="FF63BE7B"/>
      </colorScale>
    </cfRule>
  </conditionalFormatting>
  <conditionalFormatting sqref="O1:O2 Y70:Y1048576">
    <cfRule type="colorScale" priority="39">
      <colorScale>
        <cfvo type="min"/>
        <cfvo type="percentile" val="50"/>
        <cfvo type="max"/>
        <color rgb="FFF8696B"/>
        <color rgb="FFFFEB84"/>
        <color rgb="FF63BE7B"/>
      </colorScale>
    </cfRule>
  </conditionalFormatting>
  <conditionalFormatting pivot="1" sqref="U3:U13">
    <cfRule type="colorScale" priority="35">
      <colorScale>
        <cfvo type="min"/>
        <cfvo type="percentile" val="50"/>
        <cfvo type="max"/>
        <color rgb="FFF8696B"/>
        <color rgb="FFFFEB84"/>
        <color rgb="FF63BE7B"/>
      </colorScale>
    </cfRule>
  </conditionalFormatting>
  <conditionalFormatting sqref="L80:L1048576 U2 Z69">
    <cfRule type="dataBar" priority="49">
      <dataBar>
        <cfvo type="min"/>
        <cfvo type="max"/>
        <color rgb="FF638EC6"/>
      </dataBar>
      <extLst>
        <ext xmlns:x14="http://schemas.microsoft.com/office/spreadsheetml/2009/9/main" uri="{B025F937-C7B1-47D3-B67F-A62EFF666E3E}">
          <x14:id>{E4344F73-1F6D-4211-BDEF-6ABECF73A9E0}</x14:id>
        </ext>
      </extLst>
    </cfRule>
  </conditionalFormatting>
  <conditionalFormatting sqref="K80:K1048576 T2 Y69">
    <cfRule type="colorScale" priority="50">
      <colorScale>
        <cfvo type="min"/>
        <cfvo type="percentile" val="50"/>
        <cfvo type="max"/>
        <color rgb="FF63BE7B"/>
        <color rgb="FFFFEB84"/>
        <color rgb="FFF8696B"/>
      </colorScale>
    </cfRule>
  </conditionalFormatting>
  <conditionalFormatting sqref="P46:P1048576">
    <cfRule type="colorScale" priority="51">
      <colorScale>
        <cfvo type="min"/>
        <cfvo type="max"/>
        <color rgb="FF63BE7B"/>
        <color rgb="FFFFEF9C"/>
      </colorScale>
    </cfRule>
  </conditionalFormatting>
  <conditionalFormatting sqref="P46:P1048576 T67">
    <cfRule type="dataBar" priority="66">
      <dataBar>
        <cfvo type="min"/>
        <cfvo type="max"/>
        <color rgb="FF008AEF"/>
      </dataBar>
      <extLst>
        <ext xmlns:x14="http://schemas.microsoft.com/office/spreadsheetml/2009/9/main" uri="{B025F937-C7B1-47D3-B67F-A62EFF666E3E}">
          <x14:id>{3C42274E-3430-428F-A691-B6E8F891A23C}</x14:id>
        </ext>
      </extLst>
    </cfRule>
  </conditionalFormatting>
  <conditionalFormatting sqref="O179:O1048576">
    <cfRule type="colorScale" priority="67">
      <colorScale>
        <cfvo type="min"/>
        <cfvo type="percentile" val="50"/>
        <cfvo type="max"/>
        <color rgb="FFF8696B"/>
        <color rgb="FFFFEB84"/>
        <color rgb="FF63BE7B"/>
      </colorScale>
    </cfRule>
  </conditionalFormatting>
  <conditionalFormatting pivot="1" sqref="H5 H3 H12">
    <cfRule type="colorScale" priority="29">
      <colorScale>
        <cfvo type="min"/>
        <cfvo type="percentile" val="50"/>
        <cfvo type="max"/>
        <color rgb="FFF8696B"/>
        <color rgb="FFFFEB84"/>
        <color rgb="FF63BE7B"/>
      </colorScale>
    </cfRule>
  </conditionalFormatting>
  <conditionalFormatting pivot="1" sqref="L3:L12">
    <cfRule type="dataBar" priority="28">
      <dataBar>
        <cfvo type="min"/>
        <cfvo type="max"/>
        <color rgb="FFD6007B"/>
      </dataBar>
      <extLst>
        <ext xmlns:x14="http://schemas.microsoft.com/office/spreadsheetml/2009/9/main" uri="{B025F937-C7B1-47D3-B67F-A62EFF666E3E}">
          <x14:id>{F9420627-9B1C-4688-9903-7457163515EB}</x14:id>
        </ext>
      </extLst>
    </cfRule>
  </conditionalFormatting>
  <conditionalFormatting pivot="1" sqref="K3:K12">
    <cfRule type="dataBar" priority="27">
      <dataBar>
        <cfvo type="min"/>
        <cfvo type="max"/>
        <color rgb="FF63C384"/>
      </dataBar>
      <extLst>
        <ext xmlns:x14="http://schemas.microsoft.com/office/spreadsheetml/2009/9/main" uri="{B025F937-C7B1-47D3-B67F-A62EFF666E3E}">
          <x14:id>{923B01FC-1B38-49F2-A3EA-121919BF5498}</x14:id>
        </ext>
      </extLst>
    </cfRule>
  </conditionalFormatting>
  <conditionalFormatting pivot="1" sqref="G3:G12">
    <cfRule type="dataBar" priority="25">
      <dataBar>
        <cfvo type="min"/>
        <cfvo type="max"/>
        <color rgb="FFD6007B"/>
      </dataBar>
      <extLst>
        <ext xmlns:x14="http://schemas.microsoft.com/office/spreadsheetml/2009/9/main" uri="{B025F937-C7B1-47D3-B67F-A62EFF666E3E}">
          <x14:id>{333FCF36-CD72-43F9-8484-5D969670BEED}</x14:id>
        </ext>
      </extLst>
    </cfRule>
  </conditionalFormatting>
  <conditionalFormatting sqref="Z3">
    <cfRule type="dataBar" priority="24">
      <dataBar>
        <cfvo type="min"/>
        <cfvo type="max"/>
        <color rgb="FF63C384"/>
      </dataBar>
      <extLst>
        <ext xmlns:x14="http://schemas.microsoft.com/office/spreadsheetml/2009/9/main" uri="{B025F937-C7B1-47D3-B67F-A62EFF666E3E}">
          <x14:id>{125C8DC0-4943-407F-9124-4EF30B330B93}</x14:id>
        </ext>
      </extLst>
    </cfRule>
  </conditionalFormatting>
  <conditionalFormatting pivot="1" sqref="Y3:Y13">
    <cfRule type="colorScale" priority="2">
      <colorScale>
        <cfvo type="min"/>
        <cfvo type="percentile" val="50"/>
        <cfvo type="max"/>
        <color rgb="FFF8696B"/>
        <color rgb="FFFFEB84"/>
        <color rgb="FF63BE7B"/>
      </colorScale>
    </cfRule>
  </conditionalFormatting>
  <conditionalFormatting sqref="AA2:AB2 AA3:AA62">
    <cfRule type="top10" dxfId="55" priority="16" percent="1" rank="10"/>
  </conditionalFormatting>
  <conditionalFormatting sqref="AC2">
    <cfRule type="top10" dxfId="54" priority="13" rank="10"/>
  </conditionalFormatting>
  <conditionalFormatting pivot="1" sqref="AC3:AC12">
    <cfRule type="colorScale" priority="8">
      <colorScale>
        <cfvo type="min"/>
        <cfvo type="percentile" val="50"/>
        <cfvo type="max"/>
        <color rgb="FFF8696B"/>
        <color rgb="FFFCFCFF"/>
        <color rgb="FF63BE7B"/>
      </colorScale>
    </cfRule>
  </conditionalFormatting>
  <conditionalFormatting sqref="AH2">
    <cfRule type="colorScale" priority="5">
      <colorScale>
        <cfvo type="min"/>
        <cfvo type="max"/>
        <color rgb="FF63BE7B"/>
        <color rgb="FFFFEF9C"/>
      </colorScale>
    </cfRule>
  </conditionalFormatting>
  <conditionalFormatting sqref="AH1:AH2">
    <cfRule type="dataBar" priority="6">
      <dataBar>
        <cfvo type="min"/>
        <cfvo type="max"/>
        <color rgb="FF008AEF"/>
      </dataBar>
      <extLst>
        <ext xmlns:x14="http://schemas.microsoft.com/office/spreadsheetml/2009/9/main" uri="{B025F937-C7B1-47D3-B67F-A62EFF666E3E}">
          <x14:id>{6575055E-D807-442F-AB5F-9E63B7E6A342}</x14:id>
        </ext>
      </extLst>
    </cfRule>
  </conditionalFormatting>
  <conditionalFormatting sqref="AG2">
    <cfRule type="colorScale" priority="7">
      <colorScale>
        <cfvo type="min"/>
        <cfvo type="percentile" val="50"/>
        <cfvo type="max"/>
        <color rgb="FFF8696B"/>
        <color rgb="FFFFEB84"/>
        <color rgb="FF63BE7B"/>
      </colorScale>
    </cfRule>
  </conditionalFormatting>
  <conditionalFormatting pivot="1" sqref="AG3:AG12">
    <cfRule type="dataBar" priority="4">
      <dataBar>
        <cfvo type="min"/>
        <cfvo type="max"/>
        <color rgb="FFFF555A"/>
      </dataBar>
      <extLst>
        <ext xmlns:x14="http://schemas.microsoft.com/office/spreadsheetml/2009/9/main" uri="{B025F937-C7B1-47D3-B67F-A62EFF666E3E}">
          <x14:id>{A67D967D-D54F-4FFA-9A00-CD9CB49ECF17}</x14:id>
        </ext>
      </extLst>
    </cfRule>
  </conditionalFormatting>
  <conditionalFormatting pivot="1" sqref="H3:H12">
    <cfRule type="colorScale" priority="3">
      <colorScale>
        <cfvo type="min"/>
        <cfvo type="percentile" val="50"/>
        <cfvo type="max"/>
        <color rgb="FFF8696B"/>
        <color rgb="FFFCFCFF"/>
        <color rgb="FF63BE7B"/>
      </colorScale>
    </cfRule>
  </conditionalFormatting>
  <conditionalFormatting pivot="1" sqref="AH3:AH12">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9"/>
  <extLst>
    <ext xmlns:x14="http://schemas.microsoft.com/office/spreadsheetml/2009/9/main" uri="{78C0D931-6437-407d-A8EE-F0AAD7539E65}">
      <x14:conditionalFormattings>
        <x14:conditionalFormatting xmlns:xm="http://schemas.microsoft.com/office/excel/2006/main">
          <x14:cfRule type="dataBar" id="{3F385EBE-6C14-4478-922D-1AF0F78A62E2}">
            <x14:dataBar minLength="0" maxLength="100" gradient="0">
              <x14:cfvo type="autoMin"/>
              <x14:cfvo type="autoMax"/>
              <x14:negativeFillColor rgb="FFFF0000"/>
              <x14:axisColor rgb="FF000000"/>
            </x14:dataBar>
          </x14:cfRule>
          <xm:sqref>T63:T66 K2 T80:T1048576</xm:sqref>
        </x14:conditionalFormatting>
        <x14:conditionalFormatting xmlns:xm="http://schemas.microsoft.com/office/excel/2006/main">
          <x14:cfRule type="dataBar" id="{AA05D737-6B4A-43F0-AABC-9C85D46A41C5}">
            <x14:dataBar minLength="0" maxLength="100" gradient="0">
              <x14:cfvo type="autoMin"/>
              <x14:cfvo type="autoMax"/>
              <x14:negativeFillColor rgb="FFFF0000"/>
              <x14:axisColor rgb="FF000000"/>
            </x14:dataBar>
          </x14:cfRule>
          <xm:sqref>U63:U66 L2 U80:U1048576</xm:sqref>
        </x14:conditionalFormatting>
        <x14:conditionalFormatting xmlns:xm="http://schemas.microsoft.com/office/excel/2006/main">
          <x14:cfRule type="dataBar" id="{E4344F73-1F6D-4211-BDEF-6ABECF73A9E0}">
            <x14:dataBar minLength="0" maxLength="100" gradient="0">
              <x14:cfvo type="autoMin"/>
              <x14:cfvo type="autoMax"/>
              <x14:negativeFillColor rgb="FFFF0000"/>
              <x14:axisColor rgb="FF000000"/>
            </x14:dataBar>
          </x14:cfRule>
          <xm:sqref>L80:L1048576 U2 Z69</xm:sqref>
        </x14:conditionalFormatting>
        <x14:conditionalFormatting xmlns:xm="http://schemas.microsoft.com/office/excel/2006/main">
          <x14:cfRule type="dataBar" id="{3C42274E-3430-428F-A691-B6E8F891A23C}">
            <x14:dataBar minLength="0" maxLength="100" gradient="0">
              <x14:cfvo type="autoMin"/>
              <x14:cfvo type="autoMax"/>
              <x14:negativeFillColor rgb="FFFF0000"/>
              <x14:axisColor rgb="FF000000"/>
            </x14:dataBar>
          </x14:cfRule>
          <xm:sqref>P46:P1048576 T67</xm:sqref>
        </x14:conditionalFormatting>
        <x14:conditionalFormatting xmlns:xm="http://schemas.microsoft.com/office/excel/2006/main" pivot="1">
          <x14:cfRule type="dataBar" id="{F9420627-9B1C-4688-9903-7457163515EB}">
            <x14:dataBar minLength="0" maxLength="100" gradient="0">
              <x14:cfvo type="autoMin"/>
              <x14:cfvo type="autoMax"/>
              <x14:negativeFillColor rgb="FFFF0000"/>
              <x14:axisColor rgb="FF000000"/>
            </x14:dataBar>
          </x14:cfRule>
          <xm:sqref>L3:L12</xm:sqref>
        </x14:conditionalFormatting>
        <x14:conditionalFormatting xmlns:xm="http://schemas.microsoft.com/office/excel/2006/main" pivot="1">
          <x14:cfRule type="dataBar" id="{923B01FC-1B38-49F2-A3EA-121919BF5498}">
            <x14:dataBar minLength="0" maxLength="100" gradient="0">
              <x14:cfvo type="autoMin"/>
              <x14:cfvo type="autoMax"/>
              <x14:negativeFillColor rgb="FFFF0000"/>
              <x14:axisColor rgb="FF000000"/>
            </x14:dataBar>
          </x14:cfRule>
          <xm:sqref>K3:K12</xm:sqref>
        </x14:conditionalFormatting>
        <x14:conditionalFormatting xmlns:xm="http://schemas.microsoft.com/office/excel/2006/main" pivot="1">
          <x14:cfRule type="dataBar" id="{333FCF36-CD72-43F9-8484-5D969670BEED}">
            <x14:dataBar minLength="0" maxLength="100" gradient="0">
              <x14:cfvo type="autoMin"/>
              <x14:cfvo type="autoMax"/>
              <x14:negativeFillColor rgb="FFFF0000"/>
              <x14:axisColor rgb="FF000000"/>
            </x14:dataBar>
          </x14:cfRule>
          <xm:sqref>G3:G12</xm:sqref>
        </x14:conditionalFormatting>
        <x14:conditionalFormatting xmlns:xm="http://schemas.microsoft.com/office/excel/2006/main">
          <x14:cfRule type="dataBar" id="{125C8DC0-4943-407F-9124-4EF30B330B93}">
            <x14:dataBar minLength="0" maxLength="100" gradient="0">
              <x14:cfvo type="autoMin"/>
              <x14:cfvo type="autoMax"/>
              <x14:negativeFillColor rgb="FFFF0000"/>
              <x14:axisColor rgb="FF000000"/>
            </x14:dataBar>
          </x14:cfRule>
          <xm:sqref>Z3</xm:sqref>
        </x14:conditionalFormatting>
        <x14:conditionalFormatting xmlns:xm="http://schemas.microsoft.com/office/excel/2006/main">
          <x14:cfRule type="dataBar" id="{6575055E-D807-442F-AB5F-9E63B7E6A342}">
            <x14:dataBar minLength="0" maxLength="100" gradient="0">
              <x14:cfvo type="autoMin"/>
              <x14:cfvo type="autoMax"/>
              <x14:negativeFillColor rgb="FFFF0000"/>
              <x14:axisColor rgb="FF000000"/>
            </x14:dataBar>
          </x14:cfRule>
          <xm:sqref>AH1:AH2</xm:sqref>
        </x14:conditionalFormatting>
        <x14:conditionalFormatting xmlns:xm="http://schemas.microsoft.com/office/excel/2006/main" pivot="1">
          <x14:cfRule type="dataBar" id="{A67D967D-D54F-4FFA-9A00-CD9CB49ECF17}">
            <x14:dataBar minLength="0" maxLength="100" gradient="0">
              <x14:cfvo type="autoMin"/>
              <x14:cfvo type="autoMax"/>
              <x14:negativeFillColor rgb="FFFF0000"/>
              <x14:axisColor rgb="FF000000"/>
            </x14:dataBar>
          </x14:cfRule>
          <xm:sqref>AG3:AG12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3311-E1C2-42C9-B99B-76D1EC743831}">
  <sheetPr>
    <tabColor rgb="FF00B050"/>
    <pageSetUpPr fitToPage="1"/>
  </sheetPr>
  <dimension ref="F2:T3"/>
  <sheetViews>
    <sheetView showGridLines="0" showRowColHeaders="0" tabSelected="1" zoomScale="46" zoomScaleNormal="55" workbookViewId="0">
      <selection activeCell="AD60" sqref="AD60"/>
    </sheetView>
  </sheetViews>
  <sheetFormatPr defaultRowHeight="14.4" x14ac:dyDescent="0.3"/>
  <cols>
    <col min="1" max="16384" width="8.88671875" style="12"/>
  </cols>
  <sheetData>
    <row r="2" spans="6:20" ht="52.8" x14ac:dyDescent="1.25">
      <c r="F2" s="19"/>
      <c r="G2" s="20"/>
      <c r="H2" s="21"/>
      <c r="I2" s="21"/>
      <c r="J2" s="21"/>
      <c r="K2" s="21"/>
      <c r="L2" s="21"/>
      <c r="M2" s="21"/>
      <c r="N2" s="21"/>
      <c r="O2" s="21"/>
      <c r="P2" s="22"/>
    </row>
    <row r="3" spans="6:20" ht="36.6" x14ac:dyDescent="0.7">
      <c r="Q3" s="18"/>
      <c r="R3" s="18"/>
      <c r="T3" s="13"/>
    </row>
  </sheetData>
  <pageMargins left="0.7" right="0.7" top="0.75" bottom="0.75" header="0.3" footer="0.3"/>
  <pageSetup paperSize="9" scale="42" fitToWidth="2" fitToHeight="2"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0BE4-965C-49D0-A108-41243C4A1D5C}">
  <dimension ref="R66:AE66"/>
  <sheetViews>
    <sheetView zoomScale="51" workbookViewId="0">
      <selection activeCell="AC67" sqref="AC67"/>
    </sheetView>
  </sheetViews>
  <sheetFormatPr defaultRowHeight="14.4" x14ac:dyDescent="0.3"/>
  <sheetData>
    <row r="66" spans="18:31" ht="52.8" x14ac:dyDescent="1.25">
      <c r="R66" s="23"/>
      <c r="S66" s="24"/>
      <c r="T66" s="25"/>
      <c r="U66" s="26"/>
      <c r="V66" s="26"/>
      <c r="W66" s="26"/>
      <c r="X66" s="26"/>
      <c r="Y66" s="26"/>
      <c r="Z66" s="26"/>
      <c r="AA66" s="26"/>
      <c r="AB66" s="26"/>
      <c r="AC66" s="27"/>
      <c r="AD66" s="28"/>
      <c r="AE66"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486A1A-AF22-46CF-B5F5-32B01267B9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electric_vehicles_spec_2025 csv</vt:lpstr>
      <vt:lpstr>Electric Vehicle Insights</vt:lpstr>
      <vt:lpstr>Dashboard</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Bahodir Murtazayev</dc:creator>
  <cp:lastModifiedBy>Bahodir Murtazayev</cp:lastModifiedBy>
  <cp:lastPrinted>2025-07-21T11:12:07Z</cp:lastPrinted>
  <dcterms:created xsi:type="dcterms:W3CDTF">2025-07-20T04:33:16Z</dcterms:created>
  <dcterms:modified xsi:type="dcterms:W3CDTF">2025-09-02T06:51:37Z</dcterms:modified>
</cp:coreProperties>
</file>